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Properties" sheetId="2" state="visible" r:id="rId4"/>
    <sheet name="Vendor Bench" sheetId="3" state="visible" r:id="rId5"/>
    <sheet name="Job Log" sheetId="4" state="visible" r:id="rId6"/>
    <sheet name="Triage Guide" sheetId="5" state="visible" r:id="rId7"/>
    <sheet name="Tampa Sourcing" sheetId="6" state="visible" r:id="rId8"/>
    <sheet name="Vetting Checklis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<sst xmlns="http://schemas.openxmlformats.org/spreadsheetml/2006/main" count="683" uniqueCount="510">
  <si>
    <t xml:space="preserve">Tampa Vendor Bench</t>
  </si>
  <si>
    <t xml:space="preserve">A one-workbook system for keeping reliable, fairly priced trades on call for Tampa rentals.</t>
  </si>
  <si>
    <t xml:space="preserve">How to use it</t>
  </si>
  <si>
    <t xml:space="preserve">1. Properties tab: list each rental once. The Job Log dropdown reads from it.</t>
  </si>
  <si>
    <t xml:space="preserve">2. Vendor Bench tab: add every person you have vetted. Yellow cells are yours to fill. Jobs, spend and last-used update themselves from the Job Log.</t>
  </si>
  <si>
    <t xml:space="preserve">3. Job Log tab: one row per job. Pick the property and vendor from the dropdowns, enter quote and paid, rate the job 1 to 5.</t>
  </si>
  <si>
    <t xml:space="preserve">4. Triage Guide tab: before you call anyone, find the issue here. It tells you which trade, whether a license is legally required, how urgent it is, and a typical Tampa price so you know when a quote is high.</t>
  </si>
  <si>
    <t xml:space="preserve">5. Tampa Sourcing tab: where to find new people when a bench slot is empty. Ranked by how well they filter for quality.</t>
  </si>
  <si>
    <t xml:space="preserve">6. Vetting Checklist tab: the six checks to run before anyone gets a key. Every check is a free online lookup.</t>
  </si>
  <si>
    <t xml:space="preserve">Bench rules that keep prices low</t>
  </si>
  <si>
    <t xml:space="preserve">Keep 2 to 3 people per trade. One primary, one backup. A vendor who knows he is your default gets all the small jobs and prices them lower.</t>
  </si>
  <si>
    <t xml:space="preserve">Route every small job through the handyman first. Only escalate to a licensed plumber or electrician when the Triage Guide says the law requires it.</t>
  </si>
  <si>
    <t xml:space="preserve">Set a Not-To-Exceed amount per job when you call. Anything above it needs a call back before work continues.</t>
  </si>
  <si>
    <t xml:space="preserve">Insurance expiry cells turn red 30 days out. Ask for a new certificate before sending the next job.</t>
  </si>
  <si>
    <t xml:space="preserve">Book AC and roof work in spring. Tampa trades are booked solid June through October and prices rise with demand.</t>
  </si>
  <si>
    <t xml:space="preserve">Legend</t>
  </si>
  <si>
    <t xml:space="preserve">Yellow cells: you fill these in.  Grey row: example, delete it once you add a real entry.  Black text: formulas, leave alone.</t>
  </si>
  <si>
    <t xml:space="preserve">Prices in the Triage Guide are 2026 published national and Tampa ranges (HomeGuide, Angi, Homeyou), not quotes. Your Job Log will replace them with real numbers within a few months.</t>
  </si>
  <si>
    <t xml:space="preserve">Built 2026-09-08.</t>
  </si>
  <si>
    <t xml:space="preserve">Property nickname</t>
  </si>
  <si>
    <t xml:space="preserve">Street address</t>
  </si>
  <si>
    <t xml:space="preserve">City / ZIP</t>
  </si>
  <si>
    <t xml:space="preserve">Type</t>
  </si>
  <si>
    <t xml:space="preserve">Tenant name</t>
  </si>
  <si>
    <t xml:space="preserve">Tenant phone</t>
  </si>
  <si>
    <t xml:space="preserve">Lockbox / access note</t>
  </si>
  <si>
    <t xml:space="preserve">Water heater / AC age</t>
  </si>
  <si>
    <t xml:space="preserve">Notes</t>
  </si>
  <si>
    <t xml:space="preserve">Example: Seminole Hts</t>
  </si>
  <si>
    <t xml:space="preserve">123 N Example St</t>
  </si>
  <si>
    <t xml:space="preserve">Tampa 33603</t>
  </si>
  <si>
    <t xml:space="preserve">SFH 3/2</t>
  </si>
  <si>
    <t xml:space="preserve">Jane Tenant</t>
  </si>
  <si>
    <t xml:space="preserve">813-555-0100</t>
  </si>
  <si>
    <t xml:space="preserve">Lockbox 4821 on side gate</t>
  </si>
  <si>
    <t xml:space="preserve">AC 2019, WH 2016</t>
  </si>
  <si>
    <t xml:space="preserve">Older cast-iron drain lines</t>
  </si>
  <si>
    <t xml:space="preserve">Vendor name</t>
  </si>
  <si>
    <t xml:space="preserve">Company</t>
  </si>
  <si>
    <t xml:space="preserve">Trade</t>
  </si>
  <si>
    <t xml:space="preserve">Phone</t>
  </si>
  <si>
    <t xml:space="preserve">Email / text</t>
  </si>
  <si>
    <t xml:space="preserve">Role</t>
  </si>
  <si>
    <t xml:space="preserve">Status</t>
  </si>
  <si>
    <t xml:space="preserve">FL license #</t>
  </si>
  <si>
    <t xml:space="preserve">License type</t>
  </si>
  <si>
    <t xml:space="preserve">License verified (date)</t>
  </si>
  <si>
    <t xml:space="preserve">GL insurance expiry</t>
  </si>
  <si>
    <t xml:space="preserve">Days to expiry</t>
  </si>
  <si>
    <t xml:space="preserve">Workers comp (Y / Exempt / None)</t>
  </si>
  <si>
    <t xml:space="preserve">Rate</t>
  </si>
  <si>
    <t xml:space="preserve">Trip / min charge</t>
  </si>
  <si>
    <t xml:space="preserve">Response time</t>
  </si>
  <si>
    <t xml:space="preserve">Found via</t>
  </si>
  <si>
    <t xml:space="preserve">Jobs done</t>
  </si>
  <si>
    <t xml:space="preserve">Total paid</t>
  </si>
  <si>
    <t xml:space="preserve">Avg rating</t>
  </si>
  <si>
    <t xml:space="preserve">Last used</t>
  </si>
  <si>
    <t xml:space="preserve">Example: Mike R.</t>
  </si>
  <si>
    <t xml:space="preserve">Mike's Home Repair LLC</t>
  </si>
  <si>
    <t xml:space="preserve">Handyman</t>
  </si>
  <si>
    <t xml:space="preserve">813-555-0101</t>
  </si>
  <si>
    <t xml:space="preserve">mike@example.com</t>
  </si>
  <si>
    <t xml:space="preserve">Primary</t>
  </si>
  <si>
    <t xml:space="preserve">Active</t>
  </si>
  <si>
    <t xml:space="preserve">n/a (under $1k jobs)</t>
  </si>
  <si>
    <t xml:space="preserve">None (handyman)</t>
  </si>
  <si>
    <t xml:space="preserve">2026-09-01</t>
  </si>
  <si>
    <t xml:space="preserve">Exempt</t>
  </si>
  <si>
    <t xml:space="preserve">$65/hr</t>
  </si>
  <si>
    <t xml:space="preserve">$85 first hour</t>
  </si>
  <si>
    <t xml:space="preserve">Same day</t>
  </si>
  <si>
    <t xml:space="preserve">Tampa REIA</t>
  </si>
  <si>
    <t xml:space="preserve">Does drywall, paint, fixtures, fences. Will not touch panel or pipe cuts.</t>
  </si>
  <si>
    <t xml:space="preserve">Emmanuel Fenelon</t>
  </si>
  <si>
    <t xml:space="preserve">Fenelon Handyman Services LLC</t>
  </si>
  <si>
    <t xml:space="preserve">(786) 509-5555</t>
  </si>
  <si>
    <t xml:space="preserve">https://fenelonhandymanservices.com/</t>
  </si>
  <si>
    <t xml:space="preserve">n/a (handyman, under $1k jobs)</t>
  </si>
  <si>
    <t xml:space="preserve">None (handyman exemption)</t>
  </si>
  <si>
    <t xml:space="preserve">n/a, handyman exemption (jobs under $1,000, no plumbing/electrical)</t>
  </si>
  <si>
    <t xml:space="preserve">No policy or exemption on file (FL DWC, 9/8/2026). Ask for proof before first job.</t>
  </si>
  <si>
    <t xml:space="preserve">Flat-rate per job, 2-hr minimum</t>
  </si>
  <si>
    <t xml:space="preserve">Prompt scheduling per reviews</t>
  </si>
  <si>
    <t xml:space="preserve">Thumbtack + Google</t>
  </si>
  <si>
    <t xml:space="preserve">8-person crew, all of Hillsborough + Pinellas/Pasco. Fully insured, COI on request. Routes plumbing/electrical to licensed partners. Serves landlords and PM jobs. Bilingual.</t>
  </si>
  <si>
    <t xml:space="preserve">Wilfredo Lopez</t>
  </si>
  <si>
    <t xml:space="preserve">WL Handyman Service LLC</t>
  </si>
  <si>
    <t xml:space="preserve">(813) 330-0356</t>
  </si>
  <si>
    <t xml:space="preserve">https://wlhandymanservice.com/</t>
  </si>
  <si>
    <t xml:space="preserve">Backup</t>
  </si>
  <si>
    <t xml:space="preserve">Call for quote, free estimate</t>
  </si>
  <si>
    <t xml:space="preserve">Same or next day advertised</t>
  </si>
  <si>
    <t xml:space="preserve">Yelp + Google</t>
  </si>
  <si>
    <t xml:space="preserve">South Tampa owner-operator since 2019, covers Tampa to Brandon/Riverview and Pinellas. Registered and insured. Explicit landlord turnover service, rent-ready in 3-5 days. Ask for COI.</t>
  </si>
  <si>
    <t xml:space="preserve">Martin (owner)</t>
  </si>
  <si>
    <t xml:space="preserve">Tampa Sarasota Handyman, LLC</t>
  </si>
  <si>
    <t xml:space="preserve">(813) 733-0052</t>
  </si>
  <si>
    <t xml:space="preserve">https://tampasarasotahandyman.com/</t>
  </si>
  <si>
    <t xml:space="preserve">Backup (South Shore)</t>
  </si>
  <si>
    <t xml:space="preserve">Call for quote, no-surprise written quotes</t>
  </si>
  <si>
    <t xml:space="preserve">Google + Angi</t>
  </si>
  <si>
    <t xml:space="preserve">Riverview-based, best for South Shore: Riverview, Brandon, Apollo Beach, Ruskin, Sun City Center. $1M liability stated. Rental turnover and make-ready service.</t>
  </si>
  <si>
    <t xml:space="preserve">George Barnes</t>
  </si>
  <si>
    <t xml:space="preserve">George Barnes Handyman Services LLC</t>
  </si>
  <si>
    <t xml:space="preserve">(813) 390-3410</t>
  </si>
  <si>
    <t xml:space="preserve">https://www.handymangeorgebarnes.com/</t>
  </si>
  <si>
    <t xml:space="preserve">Candidate</t>
  </si>
  <si>
    <t xml:space="preserve">n/a (states not a licensed contractor)</t>
  </si>
  <si>
    <t xml:space="preserve">Free in-home estimate; beats or matches written estimates</t>
  </si>
  <si>
    <t xml:space="preserve">BBB + Yelp</t>
  </si>
  <si>
    <t xml:space="preserve">New Tampa / Wesley Chapel / Lutz corridor, in business since 1980. One-year labor guarantee. Insurance NOT stated on site, get a COI before first job. Works with property managers.</t>
  </si>
  <si>
    <t xml:space="preserve">Robert Coughlin</t>
  </si>
  <si>
    <t xml:space="preserve">Mr. Handyman (Citrus Park / Keystone) - franchise price reference</t>
  </si>
  <si>
    <t xml:space="preserve">(813) 694-1210</t>
  </si>
  <si>
    <t xml:space="preserve">https://www.mrhandyman.com/citrus-park-keystone/</t>
  </si>
  <si>
    <t xml:space="preserve">Reference (franchise/large shop)</t>
  </si>
  <si>
    <t xml:space="preserve">CGC1513681</t>
  </si>
  <si>
    <t xml:space="preserve">Cert General Contractor</t>
  </si>
  <si>
    <t xml:space="preserve">2026-09-09, Current/Active, exp 08/31/2028</t>
  </si>
  <si>
    <t xml:space="preserve">Not checked (reference row)</t>
  </si>
  <si>
    <t xml:space="preserve">~$158 first hour, then ~$108/hr</t>
  </si>
  <si>
    <t xml:space="preserve">$50 service fee included in first hour</t>
  </si>
  <si>
    <t xml:space="preserve">BBB + HomeAdvisor</t>
  </si>
  <si>
    <t xml:space="preserve">Reference row: what franchise pricing looks like. A good independent lands 30-50% under this on the same punch list. Sister franchises cover Brandon and Lutz.</t>
  </si>
  <si>
    <t xml:space="preserve">Experts Plumbing Services, LLC</t>
  </si>
  <si>
    <t xml:space="preserve">Plumber</t>
  </si>
  <si>
    <t xml:space="preserve">813-363-9726</t>
  </si>
  <si>
    <t xml:space="preserve">https://expertsplumbingservices.com/</t>
  </si>
  <si>
    <t xml:space="preserve">CFC1428527</t>
  </si>
  <si>
    <t xml:space="preserve">Cert Plumbing</t>
  </si>
  <si>
    <t xml:space="preserve">Not checked yet; request COI</t>
  </si>
  <si>
    <t xml:space="preserve">$105 service fee, waived if work done; drain stoppage $250-350; electric water heater installed from $1,205</t>
  </si>
  <si>
    <t xml:space="preserve">$105, waived with work</t>
  </si>
  <si>
    <t xml:space="preserve">Mon-Fri 7-5, no weekends</t>
  </si>
  <si>
    <t xml:space="preserve">Google + BBB</t>
  </si>
  <si>
    <t xml:space="preserve">North Tampa shop, all Hillsborough. Only indie with published flat rates. Property-management testimonial on site. No after-hours, pair with a 24/7 backup.</t>
  </si>
  <si>
    <t xml:space="preserve">Roger (owner)</t>
  </si>
  <si>
    <t xml:space="preserve">Llona Plumbing, Inc.</t>
  </si>
  <si>
    <t xml:space="preserve">813-477-1870</t>
  </si>
  <si>
    <t xml:space="preserve">https://llonaplumbing.com/</t>
  </si>
  <si>
    <t xml:space="preserve">Backup (weekends)</t>
  </si>
  <si>
    <t xml:space="preserve">CFC1431902</t>
  </si>
  <si>
    <t xml:space="preserve">$180/hr labor + $50 sewer machine; most stoppages under $250</t>
  </si>
  <si>
    <t xml:space="preserve">24 hrs Fri-Sun; Mon-Thu 8-5</t>
  </si>
  <si>
    <t xml:space="preserve">Family-owned since 2004, West Tampa shop, covers Hillsborough/Pinellas/Pasco/Manatee. Weekend 24-hr coverage makes this the emergency backup.</t>
  </si>
  <si>
    <t xml:space="preserve">Anthony Dang</t>
  </si>
  <si>
    <t xml:space="preserve">ALCA Plumbing Inc.</t>
  </si>
  <si>
    <t xml:space="preserve">813-780-2222</t>
  </si>
  <si>
    <t xml:space="preserve">https://www.alcaplumbinginc.com/</t>
  </si>
  <si>
    <t xml:space="preserve">Backup (North)</t>
  </si>
  <si>
    <t xml:space="preserve">CFC1426773</t>
  </si>
  <si>
    <t xml:space="preserve">Tub stoppage $280; main sewer line $320-350</t>
  </si>
  <si>
    <t xml:space="preserve">7 days, 7am-7pm</t>
  </si>
  <si>
    <t xml:space="preserve">Owner-operated since 2005, Wesley Chapel base, best for North Tampa / New Tampa / Pasco-line houses. Owner answers the phone and supervises jobs.</t>
  </si>
  <si>
    <t xml:space="preserve">Jerry Calhoun</t>
  </si>
  <si>
    <t xml:space="preserve">Son of a Plumber Inc.</t>
  </si>
  <si>
    <t xml:space="preserve">813-368-6028 (call or text)</t>
  </si>
  <si>
    <t xml:space="preserve">https://sonofaplumberinc.com/</t>
  </si>
  <si>
    <t xml:space="preserve">CFC1430455</t>
  </si>
  <si>
    <t xml:space="preserve">Call or text for quote; free second opinions</t>
  </si>
  <si>
    <t xml:space="preserve">Mon-Fri 8-5</t>
  </si>
  <si>
    <t xml:space="preserve">Yelp + Nextdoor</t>
  </si>
  <si>
    <t xml:space="preserve">One-man master plumber, Wesley Chapel / Temple Terrace / Land O Lakes. Cheapest structure (no dispatcher, no trucks to feed) but one person means no backup. Good water-heater swap reputation.</t>
  </si>
  <si>
    <t xml:space="preserve">Dave Cass</t>
  </si>
  <si>
    <t xml:space="preserve">Cass Plumbing, Inc.</t>
  </si>
  <si>
    <t xml:space="preserve">813-265-9200</t>
  </si>
  <si>
    <t xml:space="preserve">https://cassplumbingtampabay.com/</t>
  </si>
  <si>
    <t xml:space="preserve">Candidate (volume)</t>
  </si>
  <si>
    <t xml:space="preserve">CFC057412</t>
  </si>
  <si>
    <t xml:space="preserve">Call for quote; no trip fee; free estimates</t>
  </si>
  <si>
    <t xml:space="preserve">None advertised</t>
  </si>
  <si>
    <t xml:space="preserve">24/7</t>
  </si>
  <si>
    <t xml:space="preserve">BBB + Google</t>
  </si>
  <si>
    <t xml:space="preserve">Bigger family shop since 2000, Tampa + Brandon offices, multiple trucks. Property managers in reviews cite fast tenant response and documentation. The volume-rate candidate for 60+ doors.</t>
  </si>
  <si>
    <t xml:space="preserve">Roto-Rooter Tampa - franchise price reference</t>
  </si>
  <si>
    <t xml:space="preserve">813-980-6000</t>
  </si>
  <si>
    <t xml:space="preserve">https://www.rotorooter.com/tampa/</t>
  </si>
  <si>
    <t xml:space="preserve">CFC1429911</t>
  </si>
  <si>
    <t xml:space="preserve">Drain cleaning $225-600; after-hours +$100-200; reviews cite $560 holiday drain call</t>
  </si>
  <si>
    <t xml:space="preserve">None, baked into flat rate</t>
  </si>
  <si>
    <t xml:space="preserve">24/7/365</t>
  </si>
  <si>
    <t xml:space="preserve">Reference row. Competent and fast, consistently 'pricey' in reviews, water-restoration upsell team follows the plumber. Member of Bay Area Apartment Association.</t>
  </si>
  <si>
    <t xml:space="preserve">Christopher Groves</t>
  </si>
  <si>
    <t xml:space="preserve">Groves Electric, Inc.</t>
  </si>
  <si>
    <t xml:space="preserve">Electrician</t>
  </si>
  <si>
    <t xml:space="preserve">813-789-3400</t>
  </si>
  <si>
    <t xml:space="preserve">https://www.groveselectricinc.com/</t>
  </si>
  <si>
    <t xml:space="preserve">EC13011132</t>
  </si>
  <si>
    <t xml:space="preserve">Cert Electrical</t>
  </si>
  <si>
    <t xml:space="preserve">Free quotes, no trip charge</t>
  </si>
  <si>
    <t xml:space="preserve">None</t>
  </si>
  <si>
    <t xml:space="preserve">Owner on site within the hour per reviews</t>
  </si>
  <si>
    <t xml:space="preserve">Family-run South Tampa shop since 1998. Best value signal of the group: no trip charge and reviews cite 'a lot done in one hour'. Tampa proper, not the far suburbs.</t>
  </si>
  <si>
    <t xml:space="preserve">Samuel Lemons</t>
  </si>
  <si>
    <t xml:space="preserve">Force Electric, Inc.</t>
  </si>
  <si>
    <t xml:space="preserve">813-251-5559</t>
  </si>
  <si>
    <t xml:space="preserve">https://www.forceelectricservice.com/</t>
  </si>
  <si>
    <t xml:space="preserve">EC0001712</t>
  </si>
  <si>
    <t xml:space="preserve">Flat rate per job, quoted before work; free estimates; plan members 15% off + no dispatch fee</t>
  </si>
  <si>
    <t xml:space="preserve">Dispatch fee for non-members, amount unpublished</t>
  </si>
  <si>
    <t xml:space="preserve">Google + Yelp</t>
  </si>
  <si>
    <t xml:space="preserve">Since 1990, Carrollwood / Dale Mabry base, licensed Hillsborough + Pinellas + Pasco. Reviews say quotes come in under competitors. Background-checked techs.</t>
  </si>
  <si>
    <t xml:space="preserve">Brian Levinus</t>
  </si>
  <si>
    <t xml:space="preserve">Exodus Electric Corporation</t>
  </si>
  <si>
    <t xml:space="preserve">813-444-4445</t>
  </si>
  <si>
    <t xml:space="preserve">https://www.exoduselectric.com/</t>
  </si>
  <si>
    <t xml:space="preserve">Backup (portfolio plan)</t>
  </si>
  <si>
    <t xml:space="preserve">EC13006236</t>
  </si>
  <si>
    <t xml:space="preserve">Diagnostic fee (unpublished), free estimates; after-hours rates apply</t>
  </si>
  <si>
    <t xml:space="preserve">After-hours + weekend emergency</t>
  </si>
  <si>
    <t xml:space="preserve">The portfolio candidate: offers a written Property Management Maintenance Agreement (turnover, emergencies, annual inspections). Tampa + Brandon offices, 75-mile radius. Since 2007.</t>
  </si>
  <si>
    <t xml:space="preserve">Michael Tracy (owner); DBPR qualifier Robert Fistilla</t>
  </si>
  <si>
    <t xml:space="preserve">Lightning Bay Electric</t>
  </si>
  <si>
    <t xml:space="preserve">813-897-2665</t>
  </si>
  <si>
    <t xml:space="preserve">https://www.lightningbayelectric.com/</t>
  </si>
  <si>
    <t xml:space="preserve">EC13013571</t>
  </si>
  <si>
    <t xml:space="preserve">Modest diagnostic fee applied to repair; firm price before work</t>
  </si>
  <si>
    <t xml:space="preserve">24-hour emergency</t>
  </si>
  <si>
    <t xml:space="preserve">New company (2024) but courts landlords directly: reviews from a PM running 42 properties. Riverview / East Hillsborough. Ask who the license qualifier is, the DBPR name differs from the owner on the site.</t>
  </si>
  <si>
    <t xml:space="preserve">Houle family</t>
  </si>
  <si>
    <t xml:space="preserve">Small Jobs Electric, Inc.</t>
  </si>
  <si>
    <t xml:space="preserve">813-968-5856</t>
  </si>
  <si>
    <t xml:space="preserve">https://www.smalljobselectric.com/</t>
  </si>
  <si>
    <t xml:space="preserve">Candidate (after-hours)</t>
  </si>
  <si>
    <t xml:space="preserve">EC0003040</t>
  </si>
  <si>
    <t xml:space="preserve">Flat rate; $49 service fee applied to work</t>
  </si>
  <si>
    <t xml:space="preserve">$49 + $29 dispatch (waived for new customers)</t>
  </si>
  <si>
    <t xml:space="preserve">BBB + Angi</t>
  </si>
  <si>
    <t xml:space="preserve">40-year residential shop, very high volume, 24/7. Reliable backup, but repeat reviews say flat-rate quotes run high. Use for after-hours, not for the everyday call.</t>
  </si>
  <si>
    <t xml:space="preserve">Mister Sparky of Tampa - franchise price reference</t>
  </si>
  <si>
    <t xml:space="preserve">813-328-7210</t>
  </si>
  <si>
    <t xml:space="preserve">https://www.mistersparky.com/tampa/</t>
  </si>
  <si>
    <t xml:space="preserve">EC13008384</t>
  </si>
  <si>
    <t xml:space="preserve">Flat rate; trip charge waived for club members; older complaint cites $59 service fee</t>
  </si>
  <si>
    <t xml:space="preserve">Google</t>
  </si>
  <si>
    <t xml:space="preserve">Reference row. Fast and professional; franchise-wide complaints center on high flat rates and panel/surge upsells.</t>
  </si>
  <si>
    <t xml:space="preserve">Hebert family</t>
  </si>
  <si>
    <t xml:space="preserve">3H AC of Tampa</t>
  </si>
  <si>
    <t xml:space="preserve">HVAC</t>
  </si>
  <si>
    <t xml:space="preserve">(813) 979-4208 (call or text)</t>
  </si>
  <si>
    <t xml:space="preserve">https://3hac.com/</t>
  </si>
  <si>
    <t xml:space="preserve">Backup (maintenance plan)</t>
  </si>
  <si>
    <t xml:space="preserve">CMC1249567</t>
  </si>
  <si>
    <t xml:space="preserve">Cert Mechanical</t>
  </si>
  <si>
    <t xml:space="preserve">Maintenance plan $195/system/yr, 2 visits incl. coil clean, 10% off repairs, multi-system discounts; free phone troubleshooting</t>
  </si>
  <si>
    <t xml:space="preserve">Mon-Fri 7:30-7:30, weekends 8-6</t>
  </si>
  <si>
    <t xml:space="preserve">Family shop since 2002, North Tampa, Hillsborough/Pinellas/Pasco. Has a dedicated property-management HVAC page with per-system records. The portfolio maintenance-plan candidate.</t>
  </si>
  <si>
    <t xml:space="preserve">Rolando Mojarrieta</t>
  </si>
  <si>
    <t xml:space="preserve">Rolando's H.V.A.C., LLC</t>
  </si>
  <si>
    <t xml:space="preserve">(813) 373-6804</t>
  </si>
  <si>
    <t xml:space="preserve">https://www.rolandoshvac.com/</t>
  </si>
  <si>
    <t xml:space="preserve">CAC1820272</t>
  </si>
  <si>
    <t xml:space="preserve">Cert Air Conditioning</t>
  </si>
  <si>
    <t xml:space="preserve">$125 diagnostic, waived with repair; full system replacement $6,000-12,000 published</t>
  </si>
  <si>
    <t xml:space="preserve">$125, waived with repair</t>
  </si>
  <si>
    <t xml:space="preserve">Emergency repair advertised</t>
  </si>
  <si>
    <t xml:space="preserve">Owner-operated since 2019, West Tampa, 5 counties. Huge review volume with a 'no upsell' theme. Publishes replacement price ranges, rare in this trade. Best everyday repair call.</t>
  </si>
  <si>
    <t xml:space="preserve">Patrick Fontana</t>
  </si>
  <si>
    <t xml:space="preserve">Fontana Brothers Heating &amp; Air Conditioning, LLC</t>
  </si>
  <si>
    <t xml:space="preserve">(813) 252-1226</t>
  </si>
  <si>
    <t xml:space="preserve">https://fontanabrothersair.com/</t>
  </si>
  <si>
    <t xml:space="preserve">CAC1817303</t>
  </si>
  <si>
    <t xml:space="preserve">Call for quote; club plan 2 tune-ups/yr + 15% off parts and labor</t>
  </si>
  <si>
    <t xml:space="preserve">Three brothers, West Tampa, since 2012, 5 counties. Reviews repeat 'honest' and 'reasonable rates'. No landlord program but a solid backup.</t>
  </si>
  <si>
    <t xml:space="preserve">Morales family</t>
  </si>
  <si>
    <t xml:space="preserve">Home Therapist Cooling, Heating, and Plumbing</t>
  </si>
  <si>
    <t xml:space="preserve">(813) 343-2212</t>
  </si>
  <si>
    <t xml:space="preserve">https://callhometherapist.com/</t>
  </si>
  <si>
    <t xml:space="preserve">CAC1819196</t>
  </si>
  <si>
    <t xml:space="preserve">Cert Air Conditioning (also CFC1431159 plumbing)</t>
  </si>
  <si>
    <t xml:space="preserve">$89 tune-up promo; plans $120/$240/$480 per system/yr; $279 service-call minimum once repair approved, $120/hr after</t>
  </si>
  <si>
    <t xml:space="preserve">'Free diagnosis' but $279 minimum applies when work is approved</t>
  </si>
  <si>
    <t xml:space="preserve">24/7 dispatch, no after-hours surcharge advertised</t>
  </si>
  <si>
    <t xml:space="preserve">North Tampa, since 2017, HVAC + plumbing under one roof. Explicit 'landlord and property manager' multi-property discount. Pricing pages contradict each other, pin the numbers down by phone before comparing.</t>
  </si>
  <si>
    <t xml:space="preserve">Jean Maalouf</t>
  </si>
  <si>
    <t xml:space="preserve">Tampa AC Services Inc</t>
  </si>
  <si>
    <t xml:space="preserve">(813) 993-4669</t>
  </si>
  <si>
    <t xml:space="preserve">https://tampa-acservices.com/</t>
  </si>
  <si>
    <t xml:space="preserve">CAC1822145</t>
  </si>
  <si>
    <t xml:space="preserve">Maintenance plan $150/system/yr (1 visit), 10% off parts and labor, no overtime fees</t>
  </si>
  <si>
    <t xml:space="preserve">Open 24 hours</t>
  </si>
  <si>
    <t xml:space="preserve">Youngest company here (2022), North Tampa. Lowest published plan price, thin third-party review depth. Trial-job candidate, not a primary.</t>
  </si>
  <si>
    <t xml:space="preserve">IERNA's Heating &amp; Cooling - large-shop price reference</t>
  </si>
  <si>
    <t xml:space="preserve">(813) 578-7113</t>
  </si>
  <si>
    <t xml:space="preserve">https://www.iernaair.com/</t>
  </si>
  <si>
    <t xml:space="preserve">CAC1822278</t>
  </si>
  <si>
    <t xml:space="preserve">Diagnostic fee unpublished, waived with repair; reviews cite $89 and a $413 diagnostic complaint; membership 15% off</t>
  </si>
  <si>
    <t xml:space="preserve">24-hour support</t>
  </si>
  <si>
    <t xml:space="preserve">Reference row: 100 employees, 50 trucks, HVAC + plumbing + electrical. Responsive, but recurring complaints about surprise diagnostic charges and upsell pressure.</t>
  </si>
  <si>
    <t xml:space="preserve">Date</t>
  </si>
  <si>
    <t xml:space="preserve">Property</t>
  </si>
  <si>
    <t xml:space="preserve">Issue (short)</t>
  </si>
  <si>
    <t xml:space="preserve">Vendor</t>
  </si>
  <si>
    <t xml:space="preserve">Urgency</t>
  </si>
  <si>
    <t xml:space="preserve">Quote / NTE</t>
  </si>
  <si>
    <t xml:space="preserve">Paid</t>
  </si>
  <si>
    <t xml:space="preserve">Rating 1-5</t>
  </si>
  <si>
    <t xml:space="preserve">Permit needed?</t>
  </si>
  <si>
    <t xml:space="preserve">Tenant caused?</t>
  </si>
  <si>
    <t xml:space="preserve">Notes / what was done</t>
  </si>
  <si>
    <t xml:space="preserve">Spend summary</t>
  </si>
  <si>
    <t xml:space="preserve">Kitchen faucet dripping</t>
  </si>
  <si>
    <t xml:space="preserve">Routine</t>
  </si>
  <si>
    <t xml:space="preserve">No</t>
  </si>
  <si>
    <t xml:space="preserve">Replaced cartridge. 45 min.</t>
  </si>
  <si>
    <t xml:space="preserve">Total paid, all time</t>
  </si>
  <si>
    <t xml:space="preserve">Total paid, last 90 days</t>
  </si>
  <si>
    <t xml:space="preserve">Jobs, last 90 days</t>
  </si>
  <si>
    <t xml:space="preserve">Avg cost per job, last 90 days</t>
  </si>
  <si>
    <t xml:space="preserve">Emergency jobs, last 90 days</t>
  </si>
  <si>
    <t xml:space="preserve">Issue tenant reports</t>
  </si>
  <si>
    <t xml:space="preserve">Send this trade first</t>
  </si>
  <si>
    <t xml:space="preserve">FL license legally required?</t>
  </si>
  <si>
    <t xml:space="preserve">Typical Tampa cost (2026)</t>
  </si>
  <si>
    <t xml:space="preserve">Before you dispatch</t>
  </si>
  <si>
    <t xml:space="preserve">No water / major leak / burst pipe</t>
  </si>
  <si>
    <t xml:space="preserve">Yes. Any pipe cutting or drain alteration.</t>
  </si>
  <si>
    <t xml:space="preserve">Emergency</t>
  </si>
  <si>
    <t xml:space="preserve">$150-400 service + repair</t>
  </si>
  <si>
    <t xml:space="preserve">Have tenant shut main valve. Show them where it is on move-in.</t>
  </si>
  <si>
    <t xml:space="preserve">Clogged sink / tub drain</t>
  </si>
  <si>
    <t xml:space="preserve">No, if snaking only. Yes if pipe is opened.</t>
  </si>
  <si>
    <t xml:space="preserve">This week</t>
  </si>
  <si>
    <t xml:space="preserve">$75-250</t>
  </si>
  <si>
    <t xml:space="preserve">Ask tenant to try a plunger first. Recurring clogs on cast iron = plumber camera.</t>
  </si>
  <si>
    <t xml:space="preserve">Running or leaking toilet</t>
  </si>
  <si>
    <t xml:space="preserve">No. Flapper, fill valve, wax ring are all handyman.</t>
  </si>
  <si>
    <t xml:space="preserve">$100-200</t>
  </si>
  <si>
    <t xml:space="preserve">Photo of tank interior. Usually a $15 part.</t>
  </si>
  <si>
    <t xml:space="preserve">Dripping faucet / bad cartridge</t>
  </si>
  <si>
    <t xml:space="preserve">No. Fixture replacement is exempt.</t>
  </si>
  <si>
    <t xml:space="preserve">$90-180</t>
  </si>
  <si>
    <t xml:space="preserve">Confirm brand from photo so he brings the cartridge.</t>
  </si>
  <si>
    <t xml:space="preserve">Water heater dead</t>
  </si>
  <si>
    <t xml:space="preserve">Yes. Permit required for replacement in Tampa.</t>
  </si>
  <si>
    <t xml:space="preserve">24 hr</t>
  </si>
  <si>
    <t xml:space="preserve">$1,200-2,200 installed (40 gal)</t>
  </si>
  <si>
    <t xml:space="preserve">Check age on the label. Over 12 years, replace, do not repair.</t>
  </si>
  <si>
    <t xml:space="preserve">Garbage disposal jammed / dead</t>
  </si>
  <si>
    <t xml:space="preserve">No. Like-for-like swap is exempt.</t>
  </si>
  <si>
    <t xml:space="preserve">$150-300 installed</t>
  </si>
  <si>
    <t xml:space="preserve">Reset button and allen key first, tenant can try.</t>
  </si>
  <si>
    <t xml:space="preserve">No power to whole unit</t>
  </si>
  <si>
    <t xml:space="preserve">Yes.</t>
  </si>
  <si>
    <t xml:space="preserve">$100-200 diagnostic</t>
  </si>
  <si>
    <t xml:space="preserve">Have tenant check main breaker and call TECO first. Half of these are utility side.</t>
  </si>
  <si>
    <t xml:space="preserve">One outlet / switch dead, breaker trips</t>
  </si>
  <si>
    <t xml:space="preserve">Yes. Anything inside the box or panel.</t>
  </si>
  <si>
    <t xml:space="preserve">$150-350</t>
  </si>
  <si>
    <t xml:space="preserve">GFCI reset first. Tenant can try every GFCI in kitchen, baths, garage.</t>
  </si>
  <si>
    <t xml:space="preserve">Light fixture / ceiling fan swap</t>
  </si>
  <si>
    <t xml:space="preserve">Grey area. Like-for-like swap is commonly done by handymen. New circuit = electrician.</t>
  </si>
  <si>
    <t xml:space="preserve">$75-150 labor</t>
  </si>
  <si>
    <t xml:space="preserve">Only if replacing an existing fixture on existing wiring.</t>
  </si>
  <si>
    <t xml:space="preserve">AC not cooling</t>
  </si>
  <si>
    <t xml:space="preserve">Yes. Refrigerant and electrical work need a license.</t>
  </si>
  <si>
    <t xml:space="preserve">Emergency (Jun-Oct)</t>
  </si>
  <si>
    <t xml:space="preserve">$100-150 diagnostic, $300-800 common repairs</t>
  </si>
  <si>
    <t xml:space="preserve">Tenant: change filter, check thermostat batteries, check breaker, check drain line float switch. Solves 30% of calls.</t>
  </si>
  <si>
    <t xml:space="preserve">AC drain line clogged / water at air handler</t>
  </si>
  <si>
    <t xml:space="preserve">No. Clearing the condensate line is maintenance.</t>
  </si>
  <si>
    <t xml:space="preserve">$75-150</t>
  </si>
  <si>
    <t xml:space="preserve">Put a $10 float switch on every unit. Vinegar in drain line quarterly.</t>
  </si>
  <si>
    <t xml:space="preserve">Roof leak</t>
  </si>
  <si>
    <t xml:space="preserve">Roofer</t>
  </si>
  <si>
    <t xml:space="preserve">$300-900 repair</t>
  </si>
  <si>
    <t xml:space="preserve">Tarp first if storm season. Take photos of ceiling stain for insurance.</t>
  </si>
  <si>
    <t xml:space="preserve">Fridge / range / washer dead</t>
  </si>
  <si>
    <t xml:space="preserve">Appliance</t>
  </si>
  <si>
    <t xml:space="preserve">No.</t>
  </si>
  <si>
    <t xml:space="preserve">24 hr (fridge)</t>
  </si>
  <si>
    <t xml:space="preserve">$100-150 diagnostic</t>
  </si>
  <si>
    <t xml:space="preserve">Under 8 years old, repair. Over, replace and skip the diagnostic fee.</t>
  </si>
  <si>
    <t xml:space="preserve">Lockout / rekey at turnover</t>
  </si>
  <si>
    <t xml:space="preserve">Locksmith</t>
  </si>
  <si>
    <t xml:space="preserve">$100-200 rekey</t>
  </si>
  <si>
    <t xml:space="preserve">Rekey every turnover, do not replace. Keep 2 keys.</t>
  </si>
  <si>
    <t xml:space="preserve">Drywall hole / paint / caulk</t>
  </si>
  <si>
    <t xml:space="preserve">$50-80/hr</t>
  </si>
  <si>
    <t xml:space="preserve">Batch these. Send one visit per property per month, not one per issue.</t>
  </si>
  <si>
    <t xml:space="preserve">Fence down / gate broken</t>
  </si>
  <si>
    <t xml:space="preserve">Handyman or Fence</t>
  </si>
  <si>
    <t xml:space="preserve">No under $1,000 total. Yes above.</t>
  </si>
  <si>
    <t xml:space="preserve">$200-600 per section</t>
  </si>
  <si>
    <t xml:space="preserve">Post-storm, expect 2-3 week waits.</t>
  </si>
  <si>
    <t xml:space="preserve">Pests (ants, roaches, rodents)</t>
  </si>
  <si>
    <t xml:space="preserve">Pest</t>
  </si>
  <si>
    <t xml:space="preserve">Yes. Pest control is state licensed.</t>
  </si>
  <si>
    <t xml:space="preserve">$100-200 one-time, $40-60/mo plan</t>
  </si>
  <si>
    <t xml:space="preserve">Quarterly plan across all units beats one-off calls.</t>
  </si>
  <si>
    <t xml:space="preserve">Mold / musty smell</t>
  </si>
  <si>
    <t xml:space="preserve">Handyman first</t>
  </si>
  <si>
    <t xml:space="preserve">Depends. Over 10 sq ft of mold remediation needs a licensed remediator in FL.</t>
  </si>
  <si>
    <t xml:space="preserve">$150 inspect</t>
  </si>
  <si>
    <t xml:space="preserve">Find the water source first. Mold is a symptom.</t>
  </si>
  <si>
    <t xml:space="preserve">Stucco cracks / exterior</t>
  </si>
  <si>
    <t xml:space="preserve">Drywall / Stucco</t>
  </si>
  <si>
    <t xml:space="preserve">No if cosmetic under $1,000.</t>
  </si>
  <si>
    <t xml:space="preserve">$300-800</t>
  </si>
  <si>
    <t xml:space="preserve">Spring only. Seal before rainy season.</t>
  </si>
  <si>
    <t xml:space="preserve">Anything over $1,000 or needing a permit</t>
  </si>
  <si>
    <t xml:space="preserve">GC or licensed trade</t>
  </si>
  <si>
    <t xml:space="preserve">Yes. FL law, no exceptions.</t>
  </si>
  <si>
    <t xml:space="preserve">Varies</t>
  </si>
  <si>
    <t xml:space="preserve">Get 3 quotes</t>
  </si>
  <si>
    <t xml:space="preserve">Verify license and insurance again even for a bench vendor. Pull permit in owner or contractor name, never tenant.</t>
  </si>
  <si>
    <t xml:space="preserve">Sources: Florida Statute 489 ($1,000 handyman threshold; licensed trades for plumbing, electrical, HVAC, roofing, pest). Cost ranges from HomeGuide, Angi, Homeyou 2026 Tampa and national data. Ranges are estimates, replace with your Job Log averages.</t>
  </si>
  <si>
    <t xml:space="preserve">Rank</t>
  </si>
  <si>
    <t xml:space="preserve">Channel</t>
  </si>
  <si>
    <t xml:space="preserve">Best for</t>
  </si>
  <si>
    <t xml:space="preserve">Cost</t>
  </si>
  <si>
    <t xml:space="preserve">Link</t>
  </si>
  <si>
    <t xml:space="preserve">How to work it</t>
  </si>
  <si>
    <t xml:space="preserve">Tampa REIA (Tampa Real Estate Investors Alliance)</t>
  </si>
  <si>
    <t xml:space="preserve">Every trade. Vendors here already work for landlords, so they know the volume-rate game.</t>
  </si>
  <si>
    <t xml:space="preserve">Meetup free, membership ~$100/yr</t>
  </si>
  <si>
    <t xml:space="preserve">https://tampareia.com/</t>
  </si>
  <si>
    <t xml:space="preserve">Go to one monthly meeting. Ask three investors with 10+ doors who they use for plumbing, electric, and handyman. Write down every name that comes up twice.</t>
  </si>
  <si>
    <t xml:space="preserve">Tampa Bay REIA (TBREIA)</t>
  </si>
  <si>
    <t xml:space="preserve">Same as above, different crowd. Sub-groups across the Bay.</t>
  </si>
  <si>
    <t xml:space="preserve">Meetup free</t>
  </si>
  <si>
    <t xml:space="preserve">https://www.meetup.com/tampabayreia/</t>
  </si>
  <si>
    <t xml:space="preserve">Post in the group: 'Looking for a licensed plumber who works with investors in [neighborhood].' Investor referrals beat homeowner referrals.</t>
  </si>
  <si>
    <t xml:space="preserve">Other landlords in your ZIP</t>
  </si>
  <si>
    <t xml:space="preserve">The cheapest reliable people. Nobody advertises them.</t>
  </si>
  <si>
    <t xml:space="preserve">Free</t>
  </si>
  <si>
    <t xml:space="preserve">Knock on the door of the other rental on your street, or ask your property's previous owner. One good handyman referral is worth the whole list.</t>
  </si>
  <si>
    <t xml:space="preserve">Facebook groups: search 'Tampa landlord', 'Tampa Bay real estate investors', 'Hillsborough County homeowners'</t>
  </si>
  <si>
    <t xml:space="preserve">Handyman, lawn, cleaner, appliance</t>
  </si>
  <si>
    <t xml:space="preserve">https://www.facebook.com/groups/search/groups/?q=tampa%20landlord</t>
  </si>
  <si>
    <t xml:space="preserve">Search the group history before posting; the same 5 names get recommended every month. Ignore anyone who replies 'DM me' with no company name.</t>
  </si>
  <si>
    <t xml:space="preserve">Nextdoor (set to your rental's neighborhood)</t>
  </si>
  <si>
    <t xml:space="preserve">Handyman, lawn, pressure wash, cleaner</t>
  </si>
  <si>
    <t xml:space="preserve">https://nextdoor.com/</t>
  </si>
  <si>
    <t xml:space="preserve">Neighbors recommend people who show up. Good for the sub-$1,000 handyman tier only.</t>
  </si>
  <si>
    <t xml:space="preserve">Thumbtack</t>
  </si>
  <si>
    <t xml:space="preserve">Handyman, cleaner, appliance, junk removal</t>
  </si>
  <si>
    <t xml:space="preserve">Free to browse, pros pay per lead</t>
  </si>
  <si>
    <t xml:space="preserve">https://www.thumbtack.com/fl/tampa/</t>
  </si>
  <si>
    <t xml:space="preserve">Fast quotes, good for filling a backup slot. Sort by reviews with 50+, then verify license yourself. Do not rely on Thumbtack's badge.</t>
  </si>
  <si>
    <t xml:space="preserve">Angi / HomeAdvisor</t>
  </si>
  <si>
    <t xml:space="preserve">Licensed trades (plumber, electrician, HVAC, roofer)</t>
  </si>
  <si>
    <t xml:space="preserve">https://www.angi.com/companylist/tampa/</t>
  </si>
  <si>
    <t xml:space="preserve">Pricier tier. Use it for the licensed backup, not the primary. Angi-listed shops rarely negotiate.</t>
  </si>
  <si>
    <t xml:space="preserve">Home Depot Pro Referral</t>
  </si>
  <si>
    <t xml:space="preserve">Licensed trades for permitted work</t>
  </si>
  <si>
    <t xml:space="preserve">https://www.homedepot.com/services/</t>
  </si>
  <si>
    <t xml:space="preserve">Pre-screened for license and insurance. Prices are mid-market. Useful when you need a permit pulled fast.</t>
  </si>
  <si>
    <t xml:space="preserve">Google Maps, search '[trade] near [rental ZIP]' and sort by rating</t>
  </si>
  <si>
    <t xml:space="preserve">Any</t>
  </si>
  <si>
    <t xml:space="preserve">https://www.google.com/maps</t>
  </si>
  <si>
    <t xml:space="preserve">Filter for 4.7+ with 100+ reviews AND a real address. Read the 1-star reviews for the pattern (no-shows vs pricing).</t>
  </si>
  <si>
    <t xml:space="preserve">TaskRabbit</t>
  </si>
  <si>
    <t xml:space="preserve">Furniture assembly, mounting, moving help, minor handyman</t>
  </si>
  <si>
    <t xml:space="preserve">Taskers set hourly rate</t>
  </si>
  <si>
    <t xml:space="preserve">https://www.taskrabbit.com/locations/tampa</t>
  </si>
  <si>
    <t xml:space="preserve">Fine for turnover odd jobs. Not for plumbing, electric, or anything on a ladder over 6 ft.</t>
  </si>
  <si>
    <t xml:space="preserve">Lula (maintenance coordination, covers Tampa)</t>
  </si>
  <si>
    <t xml:space="preserve">The 'always have someone' backstop. They take the tenant call, triage, dispatch a vetted pro, bill you.</t>
  </si>
  <si>
    <t xml:space="preserve">Per-job pricing plus service fee; ask for current terms</t>
  </si>
  <si>
    <t xml:space="preserve">https://lula.life/services</t>
  </si>
  <si>
    <t xml:space="preserve">Best once you are past ~10 doors or living out of state. Set a Not-To-Exceed and they call before exceeding it. Also available through TurboTenant as Maintenance Plus.</t>
  </si>
  <si>
    <t xml:space="preserve">Latchel</t>
  </si>
  <si>
    <t xml:space="preserve">Same idea as Lula: 24/7 tenant maintenance line and dispatch</t>
  </si>
  <si>
    <t xml:space="preserve">Monthly per unit, ask for a quote</t>
  </si>
  <si>
    <t xml:space="preserve">https://latchel.com/</t>
  </si>
  <si>
    <t xml:space="preserve">Compare against Lula. Ask both which Tampa vendors they actually dispatch and whether you can add your own bench.</t>
  </si>
  <si>
    <t xml:space="preserve">Hillsborough County licensed contractor list</t>
  </si>
  <si>
    <t xml:space="preserve">Confirms a name is legit, also a way to find licensed locals</t>
  </si>
  <si>
    <t xml:space="preserve">https://hcfl.gov/businesses/hillsgovhub/contractor-licensing</t>
  </si>
  <si>
    <t xml:space="preserve">Search by trade to find registered locals in your area. Cross-check with reviews.</t>
  </si>
  <si>
    <t xml:space="preserve">Step</t>
  </si>
  <si>
    <t xml:space="preserve">Check</t>
  </si>
  <si>
    <t xml:space="preserve">Where (free lookup)</t>
  </si>
  <si>
    <t xml:space="preserve">Pass / fail rule</t>
  </si>
  <si>
    <t xml:space="preserve">State license active (plumber, electrician, HVAC, roofer, GC, pest)</t>
  </si>
  <si>
    <t xml:space="preserve">Florida DBPR license search. Search by name or license number.</t>
  </si>
  <si>
    <t xml:space="preserve">https://www.myfloridalicense.com/wl11.asp</t>
  </si>
  <si>
    <t xml:space="preserve">Status must read Current, Active. Note the expiry date and any discipline. Null and Void or Inactive = fail.</t>
  </si>
  <si>
    <t xml:space="preserve">County registration (for county-registered, not state-certified, contractors)</t>
  </si>
  <si>
    <t xml:space="preserve">HillsGovHub record search, Contractor Licensing.</t>
  </si>
  <si>
    <t xml:space="preserve">If they hold a Hillsborough registration rather than a state certification, it must be active here. Registered contractors can only work inside the county.</t>
  </si>
  <si>
    <t xml:space="preserve">General liability insurance</t>
  </si>
  <si>
    <t xml:space="preserve">Ask for a Certificate of Insurance (COI) with you named as certificate holder.</t>
  </si>
  <si>
    <t xml:space="preserve">Minimum $300k GL for handyman, $1M for licensed trades. Enter the expiry on the Bench so the cell turns red 30 days out.</t>
  </si>
  <si>
    <t xml:space="preserve">Workers comp coverage or exemption</t>
  </si>
  <si>
    <t xml:space="preserve">Florida DWC Proof of Coverage database. Search by business name.</t>
  </si>
  <si>
    <t xml:space="preserve">https://dwcdataportal.fldfs.com/ProofOfCoverage.aspx</t>
  </si>
  <si>
    <t xml:space="preserve">Either an active policy or a current exemption on file. A solo handyman with an exemption is fine. A crew with no policy is your liability if someone gets hurt.</t>
  </si>
  <si>
    <t xml:space="preserve">Business is real</t>
  </si>
  <si>
    <t xml:space="preserve">Sunbiz (Florida Division of Corporations).</t>
  </si>
  <si>
    <t xml:space="preserve">https://search.sunbiz.org/Inquiry/CorporationSearch/ByName</t>
  </si>
  <si>
    <t xml:space="preserve">Active LLC or Inc matching the name on the COI. Not required for a solo handyman, but a plus.</t>
  </si>
  <si>
    <t xml:space="preserve">Reputation</t>
  </si>
  <si>
    <t xml:space="preserve">Google reviews, BBB, and the REIA group history.</t>
  </si>
  <si>
    <t xml:space="preserve">https://www.bbb.org/local-bbb/bbb-of-west-florida</t>
  </si>
  <si>
    <t xml:space="preserve">Read the 1-star reviews. No-shows and surprise charges are the deal-breakers. Bad grammar in a reply is not.</t>
  </si>
  <si>
    <t xml:space="preserve">Trial job</t>
  </si>
  <si>
    <t xml:space="preserve">Give them one small, non-urgent job at one property.</t>
  </si>
  <si>
    <t xml:space="preserve">Judge on: showed up when they said, sent a photo when done, invoice matched quote. Pass all three = Primary or Backup. Fail any = Retired.</t>
  </si>
  <si>
    <t xml:space="preserve">Rate agreement</t>
  </si>
  <si>
    <t xml:space="preserve">Text or email, kept in the Notes column.</t>
  </si>
  <si>
    <t xml:space="preserve">Agree hourly or flat rate, trip charge, and that you are called before any job exceeds the NTE. Ask for a volume rate: 'I have X doors, what is your rate for a landlord who sends you everything?'</t>
  </si>
  <si>
    <t xml:space="preserve">Tampa-specific notes</t>
  </si>
  <si>
    <t xml:space="preserve">City of Tampa proper permits through the City of Tampa Accela portal, not HillsGovHub. Unincorporated Hillsborough (Brandon, Riverview, Town 'n' Country, Carrollwood) uses HillsGovHub. Check which one your address falls under before a permitted job.</t>
  </si>
  <si>
    <t xml:space="preserve">Hurricane season is June 1 to Nov 30. Roofers, fence crews and tree services book out weeks after any named storm. Get roof and tree work done in March-May.</t>
  </si>
  <si>
    <t xml:space="preserve">AC failures spike June-September. A backup HVAC vendor is not optional in Tampa. Float switches on every air handler prevent the most common ceiling-water call.</t>
  </si>
  <si>
    <t xml:space="preserve">Older Tampa housing (Seminole Heights, Ybor, South Tampa bungalows) has cast-iron drain lines and sometimes knob-and-tube or aluminum wiring. Ask the vendor if they have worked on it before you send them.</t>
  </si>
  <si>
    <t xml:space="preserve">Florida has no handyman license. The $1,000 total-job threshold and the trade rules are state law (Ch. 489). An unlicensed person doing licensed work voids your ability to enforce the contract and can affect insurance claims.</t>
  </si>
</sst>
</file>

<file path=xl/styles.xml><?xml version="1.0" encoding="utf-8"?>
<styleSheet xmlns="http://schemas.openxmlformats.org/spreadsheetml/2006/main">
  <numFmts count="6">
    <numFmt numFmtId="164" formatCode="General"/>
    <numFmt numFmtId="165" formatCode="yyyy\-mm\-dd"/>
    <numFmt numFmtId="166" formatCode="\$#,##0;&quot;($&quot;#,##0\);\-"/>
    <numFmt numFmtId="167" formatCode="0.0"/>
    <numFmt numFmtId="168" formatCode="\$#,##0"/>
    <numFmt numFmtId="169"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i val="true"/>
      <sz val="9"/>
      <color rgb="FF555555"/>
      <name val="Arial"/>
      <family val="0"/>
      <charset val="1"/>
    </font>
    <font>
      <b val="true"/>
      <sz val="10"/>
      <color rgb="FFFFFFFF"/>
      <name val="Arial"/>
      <family val="0"/>
      <charset val="1"/>
    </font>
    <font>
      <u val="single"/>
      <sz val="10"/>
      <color rgb="FF0563C1"/>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EEEEEE"/>
        <bgColor rgb="FFEAF2E3"/>
      </patternFill>
    </fill>
    <fill>
      <patternFill patternType="solid">
        <fgColor rgb="FFFFF9C4"/>
        <bgColor rgb="FFFFFF99"/>
      </patternFill>
    </fill>
    <fill>
      <patternFill patternType="solid">
        <fgColor rgb="FFEAF2E3"/>
        <bgColor rgb="FFEEEEEE"/>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5" fontId="5" fillId="5" borderId="1" xfId="0" applyFont="true" applyBorder="true" applyAlignment="true" applyProtection="false">
      <alignment horizontal="general" vertical="top" textRotation="0" wrapText="true" indent="0" shrinkToFit="false"/>
      <protection locked="true" hidden="false"/>
    </xf>
    <xf numFmtId="165" fontId="5"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5"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5" fillId="4" borderId="1" xfId="0" applyFont="true" applyBorder="true" applyAlignment="true" applyProtection="false">
      <alignment horizontal="general" vertical="top" textRotation="0" wrapText="tru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9C4"/>
      <rgbColor rgb="FFEEEEEE"/>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EAF2E3"/>
      <rgbColor rgb="FFFFFF99"/>
      <rgbColor rgb="FF99CCFF"/>
      <rgbColor rgb="FFFF99CC"/>
      <rgbColor rgb="FFCC99FF"/>
      <rgbColor rgb="FFF8CBAD"/>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hyperlink" Target="https://tampareia.com/" TargetMode="External"/><Relationship Id="rId2" Type="http://schemas.openxmlformats.org/officeDocument/2006/relationships/hyperlink" Target="https://www.meetup.com/tampabayreia/" TargetMode="External"/><Relationship Id="rId3" Type="http://schemas.openxmlformats.org/officeDocument/2006/relationships/hyperlink" Target="https://www.facebook.com/groups/search/groups/?q=tampa%20landlord" TargetMode="External"/><Relationship Id="rId4" Type="http://schemas.openxmlformats.org/officeDocument/2006/relationships/hyperlink" Target="https://nextdoor.com/" TargetMode="External"/><Relationship Id="rId5" Type="http://schemas.openxmlformats.org/officeDocument/2006/relationships/hyperlink" Target="https://www.thumbtack.com/fl/tampa/" TargetMode="External"/><Relationship Id="rId6" Type="http://schemas.openxmlformats.org/officeDocument/2006/relationships/hyperlink" Target="https://www.angi.com/companylist/tampa/" TargetMode="External"/><Relationship Id="rId7" Type="http://schemas.openxmlformats.org/officeDocument/2006/relationships/hyperlink" Target="https://www.homedepot.com/services/" TargetMode="External"/><Relationship Id="rId8" Type="http://schemas.openxmlformats.org/officeDocument/2006/relationships/hyperlink" Target="https://www.google.com/maps" TargetMode="External"/><Relationship Id="rId9" Type="http://schemas.openxmlformats.org/officeDocument/2006/relationships/hyperlink" Target="https://www.taskrabbit.com/locations/tampa" TargetMode="External"/><Relationship Id="rId10" Type="http://schemas.openxmlformats.org/officeDocument/2006/relationships/hyperlink" Target="https://lula.life/services" TargetMode="External"/><Relationship Id="rId11" Type="http://schemas.openxmlformats.org/officeDocument/2006/relationships/hyperlink" Target="https://latchel.com/" TargetMode="External"/><Relationship Id="rId12" Type="http://schemas.openxmlformats.org/officeDocument/2006/relationships/hyperlink" Target="https://hcfl.gov/businesses/hillsgovhub/contractor-licensing"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myfloridalicense.com/wl11.asp" TargetMode="External"/><Relationship Id="rId2" Type="http://schemas.openxmlformats.org/officeDocument/2006/relationships/hyperlink" Target="https://hcfl.gov/businesses/hillsgovhub/contractor-licensing" TargetMode="External"/><Relationship Id="rId3" Type="http://schemas.openxmlformats.org/officeDocument/2006/relationships/hyperlink" Target="https://dwcdataportal.fldfs.com/ProofOfCoverage.aspx" TargetMode="External"/><Relationship Id="rId4" Type="http://schemas.openxmlformats.org/officeDocument/2006/relationships/hyperlink" Target="https://search.sunbiz.org/Inquiry/CorporationSearch/ByName" TargetMode="External"/><Relationship Id="rId5" Type="http://schemas.openxmlformats.org/officeDocument/2006/relationships/hyperlink" Target="https://www.bbb.org/local-bbb/bbb-of-west-florid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23.85" hidden="false" customHeight="false" outlineLevel="0" collapsed="false">
      <c r="A13" s="2" t="s">
        <v>10</v>
      </c>
    </row>
    <row r="14" customFormat="false" ht="23.8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3" t="s">
        <v>15</v>
      </c>
    </row>
    <row r="20" customFormat="false" ht="15" hidden="false" customHeight="false" outlineLevel="0" collapsed="false">
      <c r="A20" s="2" t="s">
        <v>16</v>
      </c>
    </row>
    <row r="21" customFormat="false" ht="15" hidden="false" customHeight="false" outlineLevel="0" collapsed="false">
      <c r="A21" s="2"/>
    </row>
    <row r="22" customFormat="false" ht="22.35" hidden="false" customHeight="false" outlineLevel="0" collapsed="false">
      <c r="A22" s="4" t="s">
        <v>17</v>
      </c>
    </row>
    <row r="23" customFormat="false" ht="15" hidden="false" customHeight="false" outlineLevel="0" collapsed="false">
      <c r="A23" s="4" t="s">
        <v>18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4"/>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24"/>
    <col collapsed="false" customWidth="true" hidden="false" outlineLevel="0" max="8" min="8" style="0" width="18"/>
    <col collapsed="false" customWidth="true" hidden="false" outlineLevel="0" max="9" min="9" style="0" width="30"/>
  </cols>
  <sheetData>
    <row r="1" customFormat="false" ht="30" hidden="false" customHeight="true" outlineLevel="0" collapsed="false">
      <c r="A1" s="5" t="s">
        <v>19</v>
      </c>
      <c r="B1" s="5" t="s">
        <v>20</v>
      </c>
      <c r="C1" s="5" t="s">
        <v>21</v>
      </c>
      <c r="D1" s="5" t="s">
        <v>22</v>
      </c>
      <c r="E1" s="5" t="s">
        <v>23</v>
      </c>
      <c r="F1" s="5" t="s">
        <v>24</v>
      </c>
      <c r="G1" s="5" t="s">
        <v>25</v>
      </c>
      <c r="H1" s="5" t="s">
        <v>26</v>
      </c>
      <c r="I1" s="5" t="s">
        <v>27</v>
      </c>
    </row>
    <row r="2" customFormat="false" ht="23.85" hidden="false" customHeight="false" outlineLevel="0" collapsed="false">
      <c r="A2" s="6" t="s">
        <v>28</v>
      </c>
      <c r="B2" s="6" t="s">
        <v>29</v>
      </c>
      <c r="C2" s="6" t="s">
        <v>30</v>
      </c>
      <c r="D2" s="6" t="s">
        <v>31</v>
      </c>
      <c r="E2" s="6" t="s">
        <v>32</v>
      </c>
      <c r="F2" s="6" t="s">
        <v>33</v>
      </c>
      <c r="G2" s="6" t="s">
        <v>34</v>
      </c>
      <c r="H2" s="6" t="s">
        <v>35</v>
      </c>
      <c r="I2" s="6" t="s">
        <v>36</v>
      </c>
    </row>
    <row r="3" customFormat="false" ht="15" hidden="false" customHeight="false" outlineLevel="0" collapsed="false">
      <c r="A3" s="7"/>
      <c r="B3" s="7"/>
      <c r="C3" s="7"/>
      <c r="D3" s="7"/>
      <c r="E3" s="7"/>
      <c r="F3" s="7"/>
      <c r="G3" s="7"/>
      <c r="H3" s="7"/>
      <c r="I3" s="7"/>
    </row>
    <row r="4" customFormat="false" ht="15" hidden="false" customHeight="false" outlineLevel="0" collapsed="false">
      <c r="A4" s="7"/>
      <c r="B4" s="7"/>
      <c r="C4" s="7"/>
      <c r="D4" s="7"/>
      <c r="E4" s="7"/>
      <c r="F4" s="7"/>
      <c r="G4" s="7"/>
      <c r="H4" s="7"/>
      <c r="I4" s="7"/>
    </row>
    <row r="5" customFormat="false" ht="15" hidden="false" customHeight="false" outlineLevel="0" collapsed="false">
      <c r="A5" s="7"/>
      <c r="B5" s="7"/>
      <c r="C5" s="7"/>
      <c r="D5" s="7"/>
      <c r="E5" s="7"/>
      <c r="F5" s="7"/>
      <c r="G5" s="7"/>
      <c r="H5" s="7"/>
      <c r="I5" s="7"/>
    </row>
    <row r="6" customFormat="false" ht="15" hidden="false" customHeight="false" outlineLevel="0" collapsed="false">
      <c r="A6" s="7"/>
      <c r="B6" s="7"/>
      <c r="C6" s="7"/>
      <c r="D6" s="7"/>
      <c r="E6" s="7"/>
      <c r="F6" s="7"/>
      <c r="G6" s="7"/>
      <c r="H6" s="7"/>
      <c r="I6" s="7"/>
    </row>
    <row r="7" customFormat="false" ht="15" hidden="false" customHeight="false" outlineLevel="0" collapsed="false">
      <c r="A7" s="7"/>
      <c r="B7" s="7"/>
      <c r="C7" s="7"/>
      <c r="D7" s="7"/>
      <c r="E7" s="7"/>
      <c r="F7" s="7"/>
      <c r="G7" s="7"/>
      <c r="H7" s="7"/>
      <c r="I7" s="7"/>
    </row>
    <row r="8" customFormat="false" ht="15" hidden="false" customHeight="false" outlineLevel="0" collapsed="false">
      <c r="A8" s="7"/>
      <c r="B8" s="7"/>
      <c r="C8" s="7"/>
      <c r="D8" s="7"/>
      <c r="E8" s="7"/>
      <c r="F8" s="7"/>
      <c r="G8" s="7"/>
      <c r="H8" s="7"/>
      <c r="I8" s="7"/>
    </row>
    <row r="9" customFormat="false" ht="15" hidden="false" customHeight="false" outlineLevel="0" collapsed="false">
      <c r="A9" s="7"/>
      <c r="B9" s="7"/>
      <c r="C9" s="7"/>
      <c r="D9" s="7"/>
      <c r="E9" s="7"/>
      <c r="F9" s="7"/>
      <c r="G9" s="7"/>
      <c r="H9" s="7"/>
      <c r="I9" s="7"/>
    </row>
    <row r="10" customFormat="false" ht="15" hidden="false" customHeight="false" outlineLevel="0" collapsed="false">
      <c r="A10" s="7"/>
      <c r="B10" s="7"/>
      <c r="C10" s="7"/>
      <c r="D10" s="7"/>
      <c r="E10" s="7"/>
      <c r="F10" s="7"/>
      <c r="G10" s="7"/>
      <c r="H10" s="7"/>
      <c r="I10" s="7"/>
    </row>
    <row r="11" customFormat="false" ht="15" hidden="false" customHeight="false" outlineLevel="0" collapsed="false">
      <c r="A11" s="7"/>
      <c r="B11" s="7"/>
      <c r="C11" s="7"/>
      <c r="D11" s="7"/>
      <c r="E11" s="7"/>
      <c r="F11" s="7"/>
      <c r="G11" s="7"/>
      <c r="H11" s="7"/>
      <c r="I11" s="7"/>
    </row>
    <row r="12" customFormat="false" ht="15" hidden="false" customHeight="false" outlineLevel="0" collapsed="false">
      <c r="A12" s="7"/>
      <c r="B12" s="7"/>
      <c r="C12" s="7"/>
      <c r="D12" s="7"/>
      <c r="E12" s="7"/>
      <c r="F12" s="7"/>
      <c r="G12" s="7"/>
      <c r="H12" s="7"/>
      <c r="I12" s="7"/>
    </row>
    <row r="13" customFormat="false" ht="15" hidden="false" customHeight="false" outlineLevel="0" collapsed="false">
      <c r="A13" s="7"/>
      <c r="B13" s="7"/>
      <c r="C13" s="7"/>
      <c r="D13" s="7"/>
      <c r="E13" s="7"/>
      <c r="F13" s="7"/>
      <c r="G13" s="7"/>
      <c r="H13" s="7"/>
      <c r="I13" s="7"/>
    </row>
    <row r="14" customFormat="false" ht="15" hidden="false" customHeight="false" outlineLevel="0" collapsed="false">
      <c r="A14" s="7"/>
      <c r="B14" s="7"/>
      <c r="C14" s="7"/>
      <c r="D14" s="7"/>
      <c r="E14" s="7"/>
      <c r="F14" s="7"/>
      <c r="G14" s="7"/>
      <c r="H14" s="7"/>
      <c r="I14" s="7"/>
    </row>
    <row r="15" customFormat="false" ht="15" hidden="false" customHeight="false" outlineLevel="0" collapsed="false">
      <c r="A15" s="7"/>
      <c r="B15" s="7"/>
      <c r="C15" s="7"/>
      <c r="D15" s="7"/>
      <c r="E15" s="7"/>
      <c r="F15" s="7"/>
      <c r="G15" s="7"/>
      <c r="H15" s="7"/>
      <c r="I15" s="7"/>
    </row>
    <row r="16" customFormat="false" ht="15" hidden="false" customHeight="false" outlineLevel="0" collapsed="false">
      <c r="A16" s="7"/>
      <c r="B16" s="7"/>
      <c r="C16" s="7"/>
      <c r="D16" s="7"/>
      <c r="E16" s="7"/>
      <c r="F16" s="7"/>
      <c r="G16" s="7"/>
      <c r="H16" s="7"/>
      <c r="I16" s="7"/>
    </row>
    <row r="17" customFormat="false" ht="15" hidden="false" customHeight="false" outlineLevel="0" collapsed="false">
      <c r="A17" s="7"/>
      <c r="B17" s="7"/>
      <c r="C17" s="7"/>
      <c r="D17" s="7"/>
      <c r="E17" s="7"/>
      <c r="F17" s="7"/>
      <c r="G17" s="7"/>
      <c r="H17" s="7"/>
      <c r="I17" s="7"/>
    </row>
    <row r="18" customFormat="false" ht="15" hidden="false" customHeight="false" outlineLevel="0" collapsed="false">
      <c r="A18" s="7"/>
      <c r="B18" s="7"/>
      <c r="C18" s="7"/>
      <c r="D18" s="7"/>
      <c r="E18" s="7"/>
      <c r="F18" s="7"/>
      <c r="G18" s="7"/>
      <c r="H18" s="7"/>
      <c r="I18" s="7"/>
    </row>
    <row r="19" customFormat="false" ht="15" hidden="false" customHeight="false" outlineLevel="0" collapsed="false">
      <c r="A19" s="7"/>
      <c r="B19" s="7"/>
      <c r="C19" s="7"/>
      <c r="D19" s="7"/>
      <c r="E19" s="7"/>
      <c r="F19" s="7"/>
      <c r="G19" s="7"/>
      <c r="H19" s="7"/>
      <c r="I19" s="7"/>
    </row>
    <row r="20" customFormat="false" ht="15" hidden="false" customHeight="false" outlineLevel="0" collapsed="false">
      <c r="A20" s="7"/>
      <c r="B20" s="7"/>
      <c r="C20" s="7"/>
      <c r="D20" s="7"/>
      <c r="E20" s="7"/>
      <c r="F20" s="7"/>
      <c r="G20" s="7"/>
      <c r="H20" s="7"/>
      <c r="I20" s="7"/>
    </row>
    <row r="21" customFormat="false" ht="15" hidden="false" customHeight="false" outlineLevel="0" collapsed="false">
      <c r="A21" s="7"/>
      <c r="B21" s="7"/>
      <c r="C21" s="7"/>
      <c r="D21" s="7"/>
      <c r="E21" s="7"/>
      <c r="F21" s="7"/>
      <c r="G21" s="7"/>
      <c r="H21" s="7"/>
      <c r="I21" s="7"/>
    </row>
    <row r="22" customFormat="false" ht="15" hidden="false" customHeight="false" outlineLevel="0" collapsed="false">
      <c r="A22" s="7"/>
      <c r="B22" s="7"/>
      <c r="C22" s="7"/>
      <c r="D22" s="7"/>
      <c r="E22" s="7"/>
      <c r="F22" s="7"/>
      <c r="G22" s="7"/>
      <c r="H22" s="7"/>
      <c r="I22" s="7"/>
    </row>
    <row r="23" customFormat="false" ht="15" hidden="false" customHeight="false" outlineLevel="0" collapsed="false">
      <c r="A23" s="7"/>
      <c r="B23" s="7"/>
      <c r="C23" s="7"/>
      <c r="D23" s="7"/>
      <c r="E23" s="7"/>
      <c r="F23" s="7"/>
      <c r="G23" s="7"/>
      <c r="H23" s="7"/>
      <c r="I23" s="7"/>
    </row>
    <row r="24" customFormat="false" ht="15" hidden="false" customHeight="false" outlineLevel="0" collapsed="false">
      <c r="A24" s="7"/>
      <c r="B24" s="7"/>
      <c r="C24" s="7"/>
      <c r="D24" s="7"/>
      <c r="E24" s="7"/>
      <c r="F24" s="7"/>
      <c r="G24" s="7"/>
      <c r="H24" s="7"/>
      <c r="I24" s="7"/>
    </row>
    <row r="25" customFormat="false" ht="15" hidden="false" customHeight="false" outlineLevel="0" collapsed="false">
      <c r="A25" s="7"/>
      <c r="B25" s="7"/>
      <c r="C25" s="7"/>
      <c r="D25" s="7"/>
      <c r="E25" s="7"/>
      <c r="F25" s="7"/>
      <c r="G25" s="7"/>
      <c r="H25" s="7"/>
      <c r="I25" s="7"/>
    </row>
    <row r="26" customFormat="false" ht="15" hidden="false" customHeight="false" outlineLevel="0" collapsed="false">
      <c r="A26" s="7"/>
      <c r="B26" s="7"/>
      <c r="C26" s="7"/>
      <c r="D26" s="7"/>
      <c r="E26" s="7"/>
      <c r="F26" s="7"/>
      <c r="G26" s="7"/>
      <c r="H26" s="7"/>
      <c r="I26" s="7"/>
    </row>
    <row r="27" customFormat="false" ht="15" hidden="false" customHeight="false" outlineLevel="0" collapsed="false">
      <c r="A27" s="7"/>
      <c r="B27" s="7"/>
      <c r="C27" s="7"/>
      <c r="D27" s="7"/>
      <c r="E27" s="7"/>
      <c r="F27" s="7"/>
      <c r="G27" s="7"/>
      <c r="H27" s="7"/>
      <c r="I27" s="7"/>
    </row>
    <row r="28" customFormat="false" ht="15" hidden="false" customHeight="false" outlineLevel="0" collapsed="false">
      <c r="A28" s="7"/>
      <c r="B28" s="7"/>
      <c r="C28" s="7"/>
      <c r="D28" s="7"/>
      <c r="E28" s="7"/>
      <c r="F28" s="7"/>
      <c r="G28" s="7"/>
      <c r="H28" s="7"/>
      <c r="I28" s="7"/>
    </row>
    <row r="29" customFormat="false" ht="15" hidden="false" customHeight="false" outlineLevel="0" collapsed="false">
      <c r="A29" s="7"/>
      <c r="B29" s="7"/>
      <c r="C29" s="7"/>
      <c r="D29" s="7"/>
      <c r="E29" s="7"/>
      <c r="F29" s="7"/>
      <c r="G29" s="7"/>
      <c r="H29" s="7"/>
      <c r="I29" s="7"/>
    </row>
    <row r="30" customFormat="false" ht="15" hidden="false" customHeight="false" outlineLevel="0" collapsed="false">
      <c r="A30" s="7"/>
      <c r="B30" s="7"/>
      <c r="C30" s="7"/>
      <c r="D30" s="7"/>
      <c r="E30" s="7"/>
      <c r="F30" s="7"/>
      <c r="G30" s="7"/>
      <c r="H30" s="7"/>
      <c r="I30" s="7"/>
    </row>
    <row r="31" customFormat="false" ht="15" hidden="false" customHeight="false" outlineLevel="0" collapsed="false">
      <c r="A31" s="7"/>
      <c r="B31" s="7"/>
      <c r="C31" s="7"/>
      <c r="D31" s="7"/>
      <c r="E31" s="7"/>
      <c r="F31" s="7"/>
      <c r="G31" s="7"/>
      <c r="H31" s="7"/>
      <c r="I31" s="7"/>
    </row>
    <row r="32" customFormat="false" ht="15" hidden="false" customHeight="false" outlineLevel="0" collapsed="false">
      <c r="A32" s="7"/>
      <c r="B32" s="7"/>
      <c r="C32" s="7"/>
      <c r="D32" s="7"/>
      <c r="E32" s="7"/>
      <c r="F32" s="7"/>
      <c r="G32" s="7"/>
      <c r="H32" s="7"/>
      <c r="I32" s="7"/>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8"/>
    <col collapsed="false" customWidth="true" hidden="false" outlineLevel="0" max="3" min="3" style="0" width="14"/>
    <col collapsed="false" customWidth="true" hidden="false" outlineLevel="0" max="4" min="4" style="0" width="13"/>
    <col collapsed="false" customWidth="true" hidden="false" outlineLevel="0" max="5" min="5" style="0" width="20"/>
    <col collapsed="false" customWidth="true" hidden="false" outlineLevel="0" max="7" min="6" style="0" width="10"/>
    <col collapsed="false" customWidth="true" hidden="false" outlineLevel="0" max="8" min="8" style="0" width="14"/>
    <col collapsed="false" customWidth="true" hidden="false" outlineLevel="0" max="9" min="9" style="0" width="16"/>
    <col collapsed="false" customWidth="true" hidden="false" outlineLevel="0" max="11" min="10" style="0" width="14"/>
    <col collapsed="false" customWidth="true" hidden="false" outlineLevel="0" max="12" min="12" style="0" width="10"/>
    <col collapsed="false" customWidth="true" hidden="false" outlineLevel="0" max="13" min="13" style="0" width="14"/>
    <col collapsed="false" customWidth="true" hidden="false" outlineLevel="0" max="16" min="14" style="0" width="12"/>
    <col collapsed="false" customWidth="true" hidden="false" outlineLevel="0" max="17" min="17" style="0" width="16"/>
    <col collapsed="false" customWidth="true" hidden="false" outlineLevel="0" max="18" min="18" style="0" width="9"/>
    <col collapsed="false" customWidth="true" hidden="false" outlineLevel="0" max="19" min="19" style="0" width="11"/>
    <col collapsed="false" customWidth="true" hidden="false" outlineLevel="0" max="20" min="20" style="0" width="9"/>
    <col collapsed="false" customWidth="true" hidden="false" outlineLevel="0" max="21" min="21" style="0" width="11"/>
    <col collapsed="false" customWidth="true" hidden="false" outlineLevel="0" max="22" min="22" style="0" width="34"/>
  </cols>
  <sheetData>
    <row r="1" customFormat="false" ht="30" hidden="false" customHeight="true" outlineLevel="0" collapsed="false">
      <c r="A1" s="5" t="s">
        <v>37</v>
      </c>
      <c r="B1" s="5" t="s">
        <v>38</v>
      </c>
      <c r="C1" s="5" t="s">
        <v>39</v>
      </c>
      <c r="D1" s="5" t="s">
        <v>40</v>
      </c>
      <c r="E1" s="5" t="s">
        <v>41</v>
      </c>
      <c r="F1" s="5" t="s">
        <v>42</v>
      </c>
      <c r="G1" s="5" t="s">
        <v>43</v>
      </c>
      <c r="H1" s="5" t="s">
        <v>44</v>
      </c>
      <c r="I1" s="5" t="s">
        <v>45</v>
      </c>
      <c r="J1" s="5" t="s">
        <v>46</v>
      </c>
      <c r="K1" s="5" t="s">
        <v>47</v>
      </c>
      <c r="L1" s="5" t="s">
        <v>48</v>
      </c>
      <c r="M1" s="5" t="s">
        <v>49</v>
      </c>
      <c r="N1" s="5" t="s">
        <v>50</v>
      </c>
      <c r="O1" s="5" t="s">
        <v>51</v>
      </c>
      <c r="P1" s="5" t="s">
        <v>52</v>
      </c>
      <c r="Q1" s="5" t="s">
        <v>53</v>
      </c>
      <c r="R1" s="5" t="s">
        <v>54</v>
      </c>
      <c r="S1" s="5" t="s">
        <v>55</v>
      </c>
      <c r="T1" s="5" t="s">
        <v>56</v>
      </c>
      <c r="U1" s="5" t="s">
        <v>57</v>
      </c>
      <c r="V1" s="5" t="s">
        <v>27</v>
      </c>
    </row>
    <row r="2" customFormat="false" ht="23.85" hidden="false" customHeight="false" outlineLevel="0" collapsed="false">
      <c r="A2" s="6" t="s">
        <v>58</v>
      </c>
      <c r="B2" s="6" t="s">
        <v>59</v>
      </c>
      <c r="C2" s="6" t="s">
        <v>60</v>
      </c>
      <c r="D2" s="6" t="s">
        <v>61</v>
      </c>
      <c r="E2" s="6" t="s">
        <v>62</v>
      </c>
      <c r="F2" s="6" t="s">
        <v>63</v>
      </c>
      <c r="G2" s="6" t="s">
        <v>64</v>
      </c>
      <c r="H2" s="6" t="s">
        <v>65</v>
      </c>
      <c r="I2" s="6" t="s">
        <v>66</v>
      </c>
      <c r="J2" s="8" t="s">
        <v>67</v>
      </c>
      <c r="K2" s="8" t="n">
        <v>46461</v>
      </c>
      <c r="L2" s="9" t="n">
        <f aca="true">IF(K2="","",K2-TODAY())</f>
        <v>187</v>
      </c>
      <c r="M2" s="6" t="s">
        <v>68</v>
      </c>
      <c r="N2" s="6" t="s">
        <v>69</v>
      </c>
      <c r="O2" s="6" t="s">
        <v>70</v>
      </c>
      <c r="P2" s="6" t="s">
        <v>71</v>
      </c>
      <c r="Q2" s="6" t="s">
        <v>72</v>
      </c>
      <c r="R2" s="9" t="n">
        <f aca="false">IF(A2="","",COUNTIF('Job Log'!$E:$E,A2))</f>
        <v>1</v>
      </c>
      <c r="S2" s="10" t="n">
        <f aca="false">IF(A2="","",SUMIFS('Job Log'!$H:$H,'Job Log'!$E:$E,A2))</f>
        <v>110</v>
      </c>
      <c r="T2" s="11" t="n">
        <f aca="false">IF(OR(A2="",COUNTIFS('Job Log'!$E:$E,A2,'Job Log'!$I:$I,"&gt;0")=0),"",AVERAGEIFS('Job Log'!$I:$I,'Job Log'!$E:$E,A2,'Job Log'!$I:$I,"&gt;0"))</f>
        <v>5</v>
      </c>
      <c r="U2" s="12" t="n">
        <f aca="false">IF(OR(A2="",COUNTIF('Job Log'!$E:$E,A2)=0),"",SUMPRODUCT(MAX(('Job Log'!$E$2:$E$500=A2)*'Job Log'!$A$2:$A$500)))</f>
        <v>46266</v>
      </c>
      <c r="V2" s="6" t="s">
        <v>73</v>
      </c>
    </row>
    <row r="3" customFormat="false" ht="68.65" hidden="false" customHeight="false" outlineLevel="0" collapsed="false">
      <c r="A3" s="13" t="s">
        <v>74</v>
      </c>
      <c r="B3" s="13" t="s">
        <v>75</v>
      </c>
      <c r="C3" s="13" t="s">
        <v>60</v>
      </c>
      <c r="D3" s="13" t="s">
        <v>76</v>
      </c>
      <c r="E3" s="13" t="s">
        <v>77</v>
      </c>
      <c r="F3" s="13" t="s">
        <v>63</v>
      </c>
      <c r="G3" s="13" t="s">
        <v>64</v>
      </c>
      <c r="H3" s="13" t="s">
        <v>78</v>
      </c>
      <c r="I3" s="13" t="s">
        <v>79</v>
      </c>
      <c r="J3" s="14" t="s">
        <v>80</v>
      </c>
      <c r="K3" s="14"/>
      <c r="L3" s="9" t="str">
        <f aca="true">IF(K3="","",K3-TODAY())</f>
        <v/>
      </c>
      <c r="M3" s="13" t="s">
        <v>81</v>
      </c>
      <c r="N3" s="13" t="s">
        <v>82</v>
      </c>
      <c r="O3" s="13"/>
      <c r="P3" s="13" t="s">
        <v>83</v>
      </c>
      <c r="Q3" s="13" t="s">
        <v>84</v>
      </c>
      <c r="R3" s="9" t="n">
        <f aca="false">IF(A3="","",COUNTIF('Job Log'!$E:$E,A3))</f>
        <v>0</v>
      </c>
      <c r="S3" s="10" t="n">
        <f aca="false">IF(A3="","",SUMIFS('Job Log'!$H:$H,'Job Log'!$E:$E,A3))</f>
        <v>0</v>
      </c>
      <c r="T3" s="11" t="str">
        <f aca="false">IF(OR(A3="",COUNTIFS('Job Log'!$E:$E,A3,'Job Log'!$I:$I,"&gt;0")=0),"",AVERAGEIFS('Job Log'!$I:$I,'Job Log'!$E:$E,A3,'Job Log'!$I:$I,"&gt;0"))</f>
        <v/>
      </c>
      <c r="U3" s="12" t="str">
        <f aca="false">IF(OR(A3="",COUNTIF('Job Log'!$E:$E,A3)=0),"",SUMPRODUCT(MAX(('Job Log'!$E$2:$E$500=A3)*'Job Log'!$A$2:$A$500)))</f>
        <v/>
      </c>
      <c r="V3" s="13" t="s">
        <v>85</v>
      </c>
    </row>
    <row r="4" customFormat="false" ht="68.65" hidden="false" customHeight="false" outlineLevel="0" collapsed="false">
      <c r="A4" s="13" t="s">
        <v>86</v>
      </c>
      <c r="B4" s="13" t="s">
        <v>87</v>
      </c>
      <c r="C4" s="13" t="s">
        <v>60</v>
      </c>
      <c r="D4" s="13" t="s">
        <v>88</v>
      </c>
      <c r="E4" s="13" t="s">
        <v>89</v>
      </c>
      <c r="F4" s="13" t="s">
        <v>90</v>
      </c>
      <c r="G4" s="13" t="s">
        <v>64</v>
      </c>
      <c r="H4" s="13" t="s">
        <v>78</v>
      </c>
      <c r="I4" s="13" t="s">
        <v>79</v>
      </c>
      <c r="J4" s="14" t="s">
        <v>80</v>
      </c>
      <c r="K4" s="14"/>
      <c r="L4" s="9" t="str">
        <f aca="true">IF(K4="","",K4-TODAY())</f>
        <v/>
      </c>
      <c r="M4" s="13" t="s">
        <v>81</v>
      </c>
      <c r="N4" s="13" t="s">
        <v>91</v>
      </c>
      <c r="O4" s="13"/>
      <c r="P4" s="13" t="s">
        <v>92</v>
      </c>
      <c r="Q4" s="13" t="s">
        <v>93</v>
      </c>
      <c r="R4" s="9" t="n">
        <f aca="false">IF(A4="","",COUNTIF('Job Log'!$E:$E,A4))</f>
        <v>0</v>
      </c>
      <c r="S4" s="10" t="n">
        <f aca="false">IF(A4="","",SUMIFS('Job Log'!$H:$H,'Job Log'!$E:$E,A4))</f>
        <v>0</v>
      </c>
      <c r="T4" s="11" t="str">
        <f aca="false">IF(OR(A4="",COUNTIFS('Job Log'!$E:$E,A4,'Job Log'!$I:$I,"&gt;0")=0),"",AVERAGEIFS('Job Log'!$I:$I,'Job Log'!$E:$E,A4,'Job Log'!$I:$I,"&gt;0"))</f>
        <v/>
      </c>
      <c r="U4" s="12" t="str">
        <f aca="false">IF(OR(A4="",COUNTIF('Job Log'!$E:$E,A4)=0),"",SUMPRODUCT(MAX(('Job Log'!$E$2:$E$500=A4)*'Job Log'!$A$2:$A$500)))</f>
        <v/>
      </c>
      <c r="V4" s="13" t="s">
        <v>94</v>
      </c>
    </row>
    <row r="5" customFormat="false" ht="68.65" hidden="false" customHeight="false" outlineLevel="0" collapsed="false">
      <c r="A5" s="13" t="s">
        <v>95</v>
      </c>
      <c r="B5" s="13" t="s">
        <v>96</v>
      </c>
      <c r="C5" s="13" t="s">
        <v>60</v>
      </c>
      <c r="D5" s="13" t="s">
        <v>97</v>
      </c>
      <c r="E5" s="13" t="s">
        <v>98</v>
      </c>
      <c r="F5" s="13" t="s">
        <v>99</v>
      </c>
      <c r="G5" s="13" t="s">
        <v>64</v>
      </c>
      <c r="H5" s="13" t="s">
        <v>78</v>
      </c>
      <c r="I5" s="13" t="s">
        <v>79</v>
      </c>
      <c r="J5" s="14" t="s">
        <v>80</v>
      </c>
      <c r="K5" s="14"/>
      <c r="L5" s="9" t="str">
        <f aca="true">IF(K5="","",K5-TODAY())</f>
        <v/>
      </c>
      <c r="M5" s="13" t="s">
        <v>81</v>
      </c>
      <c r="N5" s="13" t="s">
        <v>100</v>
      </c>
      <c r="O5" s="13"/>
      <c r="P5" s="13"/>
      <c r="Q5" s="13" t="s">
        <v>101</v>
      </c>
      <c r="R5" s="9" t="n">
        <f aca="false">IF(A5="","",COUNTIF('Job Log'!$E:$E,A5))</f>
        <v>0</v>
      </c>
      <c r="S5" s="10" t="n">
        <f aca="false">IF(A5="","",SUMIFS('Job Log'!$H:$H,'Job Log'!$E:$E,A5))</f>
        <v>0</v>
      </c>
      <c r="T5" s="11" t="str">
        <f aca="false">IF(OR(A5="",COUNTIFS('Job Log'!$E:$E,A5,'Job Log'!$I:$I,"&gt;0")=0),"",AVERAGEIFS('Job Log'!$I:$I,'Job Log'!$E:$E,A5,'Job Log'!$I:$I,"&gt;0"))</f>
        <v/>
      </c>
      <c r="U5" s="12" t="str">
        <f aca="false">IF(OR(A5="",COUNTIF('Job Log'!$E:$E,A5)=0),"",SUMPRODUCT(MAX(('Job Log'!$E$2:$E$500=A5)*'Job Log'!$A$2:$A$500)))</f>
        <v/>
      </c>
      <c r="V5" s="13" t="s">
        <v>102</v>
      </c>
    </row>
    <row r="6" customFormat="false" ht="68.65" hidden="false" customHeight="false" outlineLevel="0" collapsed="false">
      <c r="A6" s="13" t="s">
        <v>103</v>
      </c>
      <c r="B6" s="13" t="s">
        <v>104</v>
      </c>
      <c r="C6" s="13" t="s">
        <v>60</v>
      </c>
      <c r="D6" s="13" t="s">
        <v>105</v>
      </c>
      <c r="E6" s="13" t="s">
        <v>106</v>
      </c>
      <c r="F6" s="13" t="s">
        <v>107</v>
      </c>
      <c r="G6" s="13" t="s">
        <v>64</v>
      </c>
      <c r="H6" s="13" t="s">
        <v>108</v>
      </c>
      <c r="I6" s="13" t="s">
        <v>79</v>
      </c>
      <c r="J6" s="14" t="s">
        <v>80</v>
      </c>
      <c r="K6" s="14"/>
      <c r="L6" s="9" t="str">
        <f aca="true">IF(K6="","",K6-TODAY())</f>
        <v/>
      </c>
      <c r="M6" s="13" t="s">
        <v>81</v>
      </c>
      <c r="N6" s="13" t="s">
        <v>109</v>
      </c>
      <c r="O6" s="13"/>
      <c r="P6" s="13"/>
      <c r="Q6" s="13" t="s">
        <v>110</v>
      </c>
      <c r="R6" s="9" t="n">
        <f aca="false">IF(A6="","",COUNTIF('Job Log'!$E:$E,A6))</f>
        <v>0</v>
      </c>
      <c r="S6" s="10" t="n">
        <f aca="false">IF(A6="","",SUMIFS('Job Log'!$H:$H,'Job Log'!$E:$E,A6))</f>
        <v>0</v>
      </c>
      <c r="T6" s="11" t="str">
        <f aca="false">IF(OR(A6="",COUNTIFS('Job Log'!$E:$E,A6,'Job Log'!$I:$I,"&gt;0")=0),"",AVERAGEIFS('Job Log'!$I:$I,'Job Log'!$E:$E,A6,'Job Log'!$I:$I,"&gt;0"))</f>
        <v/>
      </c>
      <c r="U6" s="12" t="str">
        <f aca="false">IF(OR(A6="",COUNTIF('Job Log'!$E:$E,A6)=0),"",SUMPRODUCT(MAX(('Job Log'!$E$2:$E$500=A6)*'Job Log'!$A$2:$A$500)))</f>
        <v/>
      </c>
      <c r="V6" s="13" t="s">
        <v>111</v>
      </c>
    </row>
    <row r="7" customFormat="false" ht="57.45" hidden="false" customHeight="false" outlineLevel="0" collapsed="false">
      <c r="A7" s="13" t="s">
        <v>112</v>
      </c>
      <c r="B7" s="13" t="s">
        <v>113</v>
      </c>
      <c r="C7" s="13" t="s">
        <v>60</v>
      </c>
      <c r="D7" s="13" t="s">
        <v>114</v>
      </c>
      <c r="E7" s="13" t="s">
        <v>115</v>
      </c>
      <c r="F7" s="13" t="s">
        <v>116</v>
      </c>
      <c r="G7" s="13" t="s">
        <v>64</v>
      </c>
      <c r="H7" s="13" t="s">
        <v>117</v>
      </c>
      <c r="I7" s="13" t="s">
        <v>118</v>
      </c>
      <c r="J7" s="14" t="s">
        <v>119</v>
      </c>
      <c r="K7" s="14"/>
      <c r="L7" s="9" t="str">
        <f aca="true">IF(K7="","",K7-TODAY())</f>
        <v/>
      </c>
      <c r="M7" s="13" t="s">
        <v>120</v>
      </c>
      <c r="N7" s="13" t="s">
        <v>121</v>
      </c>
      <c r="O7" s="13" t="s">
        <v>122</v>
      </c>
      <c r="P7" s="13"/>
      <c r="Q7" s="13" t="s">
        <v>123</v>
      </c>
      <c r="R7" s="9" t="n">
        <f aca="false">IF(A7="","",COUNTIF('Job Log'!$E:$E,A7))</f>
        <v>0</v>
      </c>
      <c r="S7" s="10" t="n">
        <f aca="false">IF(A7="","",SUMIFS('Job Log'!$H:$H,'Job Log'!$E:$E,A7))</f>
        <v>0</v>
      </c>
      <c r="T7" s="11" t="str">
        <f aca="false">IF(OR(A7="",COUNTIFS('Job Log'!$E:$E,A7,'Job Log'!$I:$I,"&gt;0")=0),"",AVERAGEIFS('Job Log'!$I:$I,'Job Log'!$E:$E,A7,'Job Log'!$I:$I,"&gt;0"))</f>
        <v/>
      </c>
      <c r="U7" s="12" t="str">
        <f aca="false">IF(OR(A7="",COUNTIF('Job Log'!$E:$E,A7)=0),"",SUMPRODUCT(MAX(('Job Log'!$E$2:$E$500=A7)*'Job Log'!$A$2:$A$500)))</f>
        <v/>
      </c>
      <c r="V7" s="13" t="s">
        <v>124</v>
      </c>
    </row>
    <row r="8" customFormat="false" ht="113.4" hidden="false" customHeight="false" outlineLevel="0" collapsed="false">
      <c r="A8" s="13"/>
      <c r="B8" s="13" t="s">
        <v>125</v>
      </c>
      <c r="C8" s="13" t="s">
        <v>126</v>
      </c>
      <c r="D8" s="13" t="s">
        <v>127</v>
      </c>
      <c r="E8" s="13" t="s">
        <v>128</v>
      </c>
      <c r="F8" s="13" t="s">
        <v>63</v>
      </c>
      <c r="G8" s="13" t="s">
        <v>64</v>
      </c>
      <c r="H8" s="13" t="s">
        <v>129</v>
      </c>
      <c r="I8" s="13" t="s">
        <v>130</v>
      </c>
      <c r="J8" s="14" t="s">
        <v>119</v>
      </c>
      <c r="K8" s="14"/>
      <c r="L8" s="9" t="str">
        <f aca="true">IF(K8="","",K8-TODAY())</f>
        <v/>
      </c>
      <c r="M8" s="13" t="s">
        <v>131</v>
      </c>
      <c r="N8" s="13" t="s">
        <v>132</v>
      </c>
      <c r="O8" s="13" t="s">
        <v>133</v>
      </c>
      <c r="P8" s="13" t="s">
        <v>134</v>
      </c>
      <c r="Q8" s="13" t="s">
        <v>135</v>
      </c>
      <c r="R8" s="9" t="str">
        <f aca="false">IF(A8="","",COUNTIF('Job Log'!$E:$E,A8))</f>
        <v/>
      </c>
      <c r="S8" s="10" t="str">
        <f aca="false">IF(A8="","",SUMIFS('Job Log'!$H:$H,'Job Log'!$E:$E,A8))</f>
        <v/>
      </c>
      <c r="T8" s="11" t="str">
        <f aca="false">IF(OR(A8="",COUNTIFS('Job Log'!$E:$E,A8,'Job Log'!$I:$I,"&gt;0")=0),"",AVERAGEIFS('Job Log'!$I:$I,'Job Log'!$E:$E,A8,'Job Log'!$I:$I,"&gt;0"))</f>
        <v/>
      </c>
      <c r="U8" s="12" t="str">
        <f aca="false">IF(OR(A8="",COUNTIF('Job Log'!$E:$E,A8)=0),"",SUMPRODUCT(MAX(('Job Log'!$E$2:$E$500=A8)*'Job Log'!$A$2:$A$500)))</f>
        <v/>
      </c>
      <c r="V8" s="13" t="s">
        <v>136</v>
      </c>
    </row>
    <row r="9" customFormat="false" ht="68.65" hidden="false" customHeight="false" outlineLevel="0" collapsed="false">
      <c r="A9" s="13" t="s">
        <v>137</v>
      </c>
      <c r="B9" s="13" t="s">
        <v>138</v>
      </c>
      <c r="C9" s="13" t="s">
        <v>126</v>
      </c>
      <c r="D9" s="13" t="s">
        <v>139</v>
      </c>
      <c r="E9" s="13" t="s">
        <v>140</v>
      </c>
      <c r="F9" s="13" t="s">
        <v>141</v>
      </c>
      <c r="G9" s="13" t="s">
        <v>64</v>
      </c>
      <c r="H9" s="13" t="s">
        <v>142</v>
      </c>
      <c r="I9" s="13" t="s">
        <v>130</v>
      </c>
      <c r="J9" s="14" t="s">
        <v>119</v>
      </c>
      <c r="K9" s="14"/>
      <c r="L9" s="9" t="str">
        <f aca="true">IF(K9="","",K9-TODAY())</f>
        <v/>
      </c>
      <c r="M9" s="13" t="s">
        <v>131</v>
      </c>
      <c r="N9" s="13" t="s">
        <v>143</v>
      </c>
      <c r="O9" s="13"/>
      <c r="P9" s="13" t="s">
        <v>144</v>
      </c>
      <c r="Q9" s="13" t="s">
        <v>135</v>
      </c>
      <c r="R9" s="9" t="n">
        <f aca="false">IF(A9="","",COUNTIF('Job Log'!$E:$E,A9))</f>
        <v>0</v>
      </c>
      <c r="S9" s="10" t="n">
        <f aca="false">IF(A9="","",SUMIFS('Job Log'!$H:$H,'Job Log'!$E:$E,A9))</f>
        <v>0</v>
      </c>
      <c r="T9" s="11" t="str">
        <f aca="false">IF(OR(A9="",COUNTIFS('Job Log'!$E:$E,A9,'Job Log'!$I:$I,"&gt;0")=0),"",AVERAGEIFS('Job Log'!$I:$I,'Job Log'!$E:$E,A9,'Job Log'!$I:$I,"&gt;0"))</f>
        <v/>
      </c>
      <c r="U9" s="12" t="str">
        <f aca="false">IF(OR(A9="",COUNTIF('Job Log'!$E:$E,A9)=0),"",SUMPRODUCT(MAX(('Job Log'!$E$2:$E$500=A9)*'Job Log'!$A$2:$A$500)))</f>
        <v/>
      </c>
      <c r="V9" s="13" t="s">
        <v>145</v>
      </c>
    </row>
    <row r="10" customFormat="false" ht="46.25" hidden="false" customHeight="false" outlineLevel="0" collapsed="false">
      <c r="A10" s="13" t="s">
        <v>146</v>
      </c>
      <c r="B10" s="13" t="s">
        <v>147</v>
      </c>
      <c r="C10" s="13" t="s">
        <v>126</v>
      </c>
      <c r="D10" s="13" t="s">
        <v>148</v>
      </c>
      <c r="E10" s="13" t="s">
        <v>149</v>
      </c>
      <c r="F10" s="13" t="s">
        <v>150</v>
      </c>
      <c r="G10" s="13" t="s">
        <v>64</v>
      </c>
      <c r="H10" s="13" t="s">
        <v>151</v>
      </c>
      <c r="I10" s="13" t="s">
        <v>130</v>
      </c>
      <c r="J10" s="14" t="s">
        <v>119</v>
      </c>
      <c r="K10" s="14"/>
      <c r="L10" s="9" t="str">
        <f aca="true">IF(K10="","",K10-TODAY())</f>
        <v/>
      </c>
      <c r="M10" s="13" t="s">
        <v>131</v>
      </c>
      <c r="N10" s="13" t="s">
        <v>152</v>
      </c>
      <c r="O10" s="13"/>
      <c r="P10" s="13" t="s">
        <v>153</v>
      </c>
      <c r="Q10" s="13" t="s">
        <v>135</v>
      </c>
      <c r="R10" s="9" t="n">
        <f aca="false">IF(A10="","",COUNTIF('Job Log'!$E:$E,A10))</f>
        <v>0</v>
      </c>
      <c r="S10" s="10" t="n">
        <f aca="false">IF(A10="","",SUMIFS('Job Log'!$H:$H,'Job Log'!$E:$E,A10))</f>
        <v>0</v>
      </c>
      <c r="T10" s="11" t="str">
        <f aca="false">IF(OR(A10="",COUNTIFS('Job Log'!$E:$E,A10,'Job Log'!$I:$I,"&gt;0")=0),"",AVERAGEIFS('Job Log'!$I:$I,'Job Log'!$E:$E,A10,'Job Log'!$I:$I,"&gt;0"))</f>
        <v/>
      </c>
      <c r="U10" s="12" t="str">
        <f aca="false">IF(OR(A10="",COUNTIF('Job Log'!$E:$E,A10)=0),"",SUMPRODUCT(MAX(('Job Log'!$E$2:$E$500=A10)*'Job Log'!$A$2:$A$500)))</f>
        <v/>
      </c>
      <c r="V10" s="13" t="s">
        <v>154</v>
      </c>
    </row>
    <row r="11" customFormat="false" ht="68.65" hidden="false" customHeight="false" outlineLevel="0" collapsed="false">
      <c r="A11" s="13" t="s">
        <v>155</v>
      </c>
      <c r="B11" s="13" t="s">
        <v>156</v>
      </c>
      <c r="C11" s="13" t="s">
        <v>126</v>
      </c>
      <c r="D11" s="13" t="s">
        <v>157</v>
      </c>
      <c r="E11" s="13" t="s">
        <v>158</v>
      </c>
      <c r="F11" s="13" t="s">
        <v>107</v>
      </c>
      <c r="G11" s="13" t="s">
        <v>64</v>
      </c>
      <c r="H11" s="13" t="s">
        <v>159</v>
      </c>
      <c r="I11" s="13" t="s">
        <v>130</v>
      </c>
      <c r="J11" s="14" t="s">
        <v>119</v>
      </c>
      <c r="K11" s="14"/>
      <c r="L11" s="9" t="str">
        <f aca="true">IF(K11="","",K11-TODAY())</f>
        <v/>
      </c>
      <c r="M11" s="13" t="s">
        <v>131</v>
      </c>
      <c r="N11" s="13" t="s">
        <v>160</v>
      </c>
      <c r="O11" s="13"/>
      <c r="P11" s="13" t="s">
        <v>161</v>
      </c>
      <c r="Q11" s="13" t="s">
        <v>162</v>
      </c>
      <c r="R11" s="9" t="n">
        <f aca="false">IF(A11="","",COUNTIF('Job Log'!$E:$E,A11))</f>
        <v>0</v>
      </c>
      <c r="S11" s="10" t="n">
        <f aca="false">IF(A11="","",SUMIFS('Job Log'!$H:$H,'Job Log'!$E:$E,A11))</f>
        <v>0</v>
      </c>
      <c r="T11" s="11" t="str">
        <f aca="false">IF(OR(A11="",COUNTIFS('Job Log'!$E:$E,A11,'Job Log'!$I:$I,"&gt;0")=0),"",AVERAGEIFS('Job Log'!$I:$I,'Job Log'!$E:$E,A11,'Job Log'!$I:$I,"&gt;0"))</f>
        <v/>
      </c>
      <c r="U11" s="12" t="str">
        <f aca="false">IF(OR(A11="",COUNTIF('Job Log'!$E:$E,A11)=0),"",SUMPRODUCT(MAX(('Job Log'!$E$2:$E$500=A11)*'Job Log'!$A$2:$A$500)))</f>
        <v/>
      </c>
      <c r="V11" s="13" t="s">
        <v>163</v>
      </c>
    </row>
    <row r="12" customFormat="false" ht="57.45" hidden="false" customHeight="false" outlineLevel="0" collapsed="false">
      <c r="A12" s="13" t="s">
        <v>164</v>
      </c>
      <c r="B12" s="13" t="s">
        <v>165</v>
      </c>
      <c r="C12" s="13" t="s">
        <v>126</v>
      </c>
      <c r="D12" s="13" t="s">
        <v>166</v>
      </c>
      <c r="E12" s="13" t="s">
        <v>167</v>
      </c>
      <c r="F12" s="13" t="s">
        <v>168</v>
      </c>
      <c r="G12" s="13" t="s">
        <v>64</v>
      </c>
      <c r="H12" s="13" t="s">
        <v>169</v>
      </c>
      <c r="I12" s="13" t="s">
        <v>130</v>
      </c>
      <c r="J12" s="14" t="s">
        <v>119</v>
      </c>
      <c r="K12" s="14"/>
      <c r="L12" s="9" t="str">
        <f aca="true">IF(K12="","",K12-TODAY())</f>
        <v/>
      </c>
      <c r="M12" s="13" t="s">
        <v>131</v>
      </c>
      <c r="N12" s="13" t="s">
        <v>170</v>
      </c>
      <c r="O12" s="13" t="s">
        <v>171</v>
      </c>
      <c r="P12" s="13" t="s">
        <v>172</v>
      </c>
      <c r="Q12" s="13" t="s">
        <v>173</v>
      </c>
      <c r="R12" s="9" t="n">
        <f aca="false">IF(A12="","",COUNTIF('Job Log'!$E:$E,A12))</f>
        <v>0</v>
      </c>
      <c r="S12" s="10" t="n">
        <f aca="false">IF(A12="","",SUMIFS('Job Log'!$H:$H,'Job Log'!$E:$E,A12))</f>
        <v>0</v>
      </c>
      <c r="T12" s="11" t="str">
        <f aca="false">IF(OR(A12="",COUNTIFS('Job Log'!$E:$E,A12,'Job Log'!$I:$I,"&gt;0")=0),"",AVERAGEIFS('Job Log'!$I:$I,'Job Log'!$E:$E,A12,'Job Log'!$I:$I,"&gt;0"))</f>
        <v/>
      </c>
      <c r="U12" s="12" t="str">
        <f aca="false">IF(OR(A12="",COUNTIF('Job Log'!$E:$E,A12)=0),"",SUMPRODUCT(MAX(('Job Log'!$E$2:$E$500=A12)*'Job Log'!$A$2:$A$500)))</f>
        <v/>
      </c>
      <c r="V12" s="13" t="s">
        <v>174</v>
      </c>
    </row>
    <row r="13" customFormat="false" ht="91" hidden="false" customHeight="false" outlineLevel="0" collapsed="false">
      <c r="A13" s="13"/>
      <c r="B13" s="13" t="s">
        <v>175</v>
      </c>
      <c r="C13" s="13" t="s">
        <v>126</v>
      </c>
      <c r="D13" s="13" t="s">
        <v>176</v>
      </c>
      <c r="E13" s="13" t="s">
        <v>177</v>
      </c>
      <c r="F13" s="13" t="s">
        <v>116</v>
      </c>
      <c r="G13" s="13" t="s">
        <v>64</v>
      </c>
      <c r="H13" s="13" t="s">
        <v>178</v>
      </c>
      <c r="I13" s="13" t="s">
        <v>130</v>
      </c>
      <c r="J13" s="14" t="s">
        <v>119</v>
      </c>
      <c r="K13" s="14"/>
      <c r="L13" s="9" t="str">
        <f aca="true">IF(K13="","",K13-TODAY())</f>
        <v/>
      </c>
      <c r="M13" s="13" t="s">
        <v>120</v>
      </c>
      <c r="N13" s="13" t="s">
        <v>179</v>
      </c>
      <c r="O13" s="13" t="s">
        <v>180</v>
      </c>
      <c r="P13" s="13" t="s">
        <v>181</v>
      </c>
      <c r="Q13" s="13" t="s">
        <v>135</v>
      </c>
      <c r="R13" s="9" t="str">
        <f aca="false">IF(A13="","",COUNTIF('Job Log'!$E:$E,A13))</f>
        <v/>
      </c>
      <c r="S13" s="10" t="str">
        <f aca="false">IF(A13="","",SUMIFS('Job Log'!$H:$H,'Job Log'!$E:$E,A13))</f>
        <v/>
      </c>
      <c r="T13" s="11" t="str">
        <f aca="false">IF(OR(A13="",COUNTIFS('Job Log'!$E:$E,A13,'Job Log'!$I:$I,"&gt;0")=0),"",AVERAGEIFS('Job Log'!$I:$I,'Job Log'!$E:$E,A13,'Job Log'!$I:$I,"&gt;0"))</f>
        <v/>
      </c>
      <c r="U13" s="12" t="str">
        <f aca="false">IF(OR(A13="",COUNTIF('Job Log'!$E:$E,A13)=0),"",SUMPRODUCT(MAX(('Job Log'!$E$2:$E$500=A13)*'Job Log'!$A$2:$A$500)))</f>
        <v/>
      </c>
      <c r="V13" s="13" t="s">
        <v>182</v>
      </c>
    </row>
    <row r="14" customFormat="false" ht="57.45" hidden="false" customHeight="false" outlineLevel="0" collapsed="false">
      <c r="A14" s="13" t="s">
        <v>183</v>
      </c>
      <c r="B14" s="13" t="s">
        <v>184</v>
      </c>
      <c r="C14" s="13" t="s">
        <v>185</v>
      </c>
      <c r="D14" s="13" t="s">
        <v>186</v>
      </c>
      <c r="E14" s="13" t="s">
        <v>187</v>
      </c>
      <c r="F14" s="13" t="s">
        <v>63</v>
      </c>
      <c r="G14" s="13" t="s">
        <v>64</v>
      </c>
      <c r="H14" s="13" t="s">
        <v>188</v>
      </c>
      <c r="I14" s="13" t="s">
        <v>189</v>
      </c>
      <c r="J14" s="14" t="s">
        <v>119</v>
      </c>
      <c r="K14" s="14"/>
      <c r="L14" s="9" t="str">
        <f aca="true">IF(K14="","",K14-TODAY())</f>
        <v/>
      </c>
      <c r="M14" s="13" t="s">
        <v>131</v>
      </c>
      <c r="N14" s="13" t="s">
        <v>190</v>
      </c>
      <c r="O14" s="13" t="s">
        <v>191</v>
      </c>
      <c r="P14" s="13" t="s">
        <v>192</v>
      </c>
      <c r="Q14" s="13" t="s">
        <v>110</v>
      </c>
      <c r="R14" s="9" t="n">
        <f aca="false">IF(A14="","",COUNTIF('Job Log'!$E:$E,A14))</f>
        <v>0</v>
      </c>
      <c r="S14" s="10" t="n">
        <f aca="false">IF(A14="","",SUMIFS('Job Log'!$H:$H,'Job Log'!$E:$E,A14))</f>
        <v>0</v>
      </c>
      <c r="T14" s="11" t="str">
        <f aca="false">IF(OR(A14="",COUNTIFS('Job Log'!$E:$E,A14,'Job Log'!$I:$I,"&gt;0")=0),"",AVERAGEIFS('Job Log'!$I:$I,'Job Log'!$E:$E,A14,'Job Log'!$I:$I,"&gt;0"))</f>
        <v/>
      </c>
      <c r="U14" s="12" t="str">
        <f aca="false">IF(OR(A14="",COUNTIF('Job Log'!$E:$E,A14)=0),"",SUMPRODUCT(MAX(('Job Log'!$E$2:$E$500=A14)*'Job Log'!$A$2:$A$500)))</f>
        <v/>
      </c>
      <c r="V14" s="13" t="s">
        <v>193</v>
      </c>
    </row>
    <row r="15" customFormat="false" ht="91" hidden="false" customHeight="false" outlineLevel="0" collapsed="false">
      <c r="A15" s="13" t="s">
        <v>194</v>
      </c>
      <c r="B15" s="13" t="s">
        <v>195</v>
      </c>
      <c r="C15" s="13" t="s">
        <v>185</v>
      </c>
      <c r="D15" s="13" t="s">
        <v>196</v>
      </c>
      <c r="E15" s="13" t="s">
        <v>197</v>
      </c>
      <c r="F15" s="13" t="s">
        <v>90</v>
      </c>
      <c r="G15" s="13" t="s">
        <v>64</v>
      </c>
      <c r="H15" s="13" t="s">
        <v>198</v>
      </c>
      <c r="I15" s="13" t="s">
        <v>189</v>
      </c>
      <c r="J15" s="14" t="s">
        <v>119</v>
      </c>
      <c r="K15" s="14"/>
      <c r="L15" s="9" t="str">
        <f aca="true">IF(K15="","",K15-TODAY())</f>
        <v/>
      </c>
      <c r="M15" s="13" t="s">
        <v>131</v>
      </c>
      <c r="N15" s="13" t="s">
        <v>199</v>
      </c>
      <c r="O15" s="13" t="s">
        <v>200</v>
      </c>
      <c r="P15" s="13"/>
      <c r="Q15" s="13" t="s">
        <v>201</v>
      </c>
      <c r="R15" s="9" t="n">
        <f aca="false">IF(A15="","",COUNTIF('Job Log'!$E:$E,A15))</f>
        <v>0</v>
      </c>
      <c r="S15" s="10" t="n">
        <f aca="false">IF(A15="","",SUMIFS('Job Log'!$H:$H,'Job Log'!$E:$E,A15))</f>
        <v>0</v>
      </c>
      <c r="T15" s="11" t="str">
        <f aca="false">IF(OR(A15="",COUNTIFS('Job Log'!$E:$E,A15,'Job Log'!$I:$I,"&gt;0")=0),"",AVERAGEIFS('Job Log'!$I:$I,'Job Log'!$E:$E,A15,'Job Log'!$I:$I,"&gt;0"))</f>
        <v/>
      </c>
      <c r="U15" s="12" t="str">
        <f aca="false">IF(OR(A15="",COUNTIF('Job Log'!$E:$E,A15)=0),"",SUMPRODUCT(MAX(('Job Log'!$E$2:$E$500=A15)*'Job Log'!$A$2:$A$500)))</f>
        <v/>
      </c>
      <c r="V15" s="13" t="s">
        <v>202</v>
      </c>
    </row>
    <row r="16" customFormat="false" ht="68.65" hidden="false" customHeight="false" outlineLevel="0" collapsed="false">
      <c r="A16" s="13" t="s">
        <v>203</v>
      </c>
      <c r="B16" s="13" t="s">
        <v>204</v>
      </c>
      <c r="C16" s="13" t="s">
        <v>185</v>
      </c>
      <c r="D16" s="13" t="s">
        <v>205</v>
      </c>
      <c r="E16" s="13" t="s">
        <v>206</v>
      </c>
      <c r="F16" s="13" t="s">
        <v>207</v>
      </c>
      <c r="G16" s="13" t="s">
        <v>64</v>
      </c>
      <c r="H16" s="13" t="s">
        <v>208</v>
      </c>
      <c r="I16" s="13" t="s">
        <v>189</v>
      </c>
      <c r="J16" s="14" t="s">
        <v>119</v>
      </c>
      <c r="K16" s="14"/>
      <c r="L16" s="9" t="str">
        <f aca="true">IF(K16="","",K16-TODAY())</f>
        <v/>
      </c>
      <c r="M16" s="13" t="s">
        <v>131</v>
      </c>
      <c r="N16" s="13" t="s">
        <v>209</v>
      </c>
      <c r="O16" s="13"/>
      <c r="P16" s="13" t="s">
        <v>210</v>
      </c>
      <c r="Q16" s="13" t="s">
        <v>173</v>
      </c>
      <c r="R16" s="9" t="n">
        <f aca="false">IF(A16="","",COUNTIF('Job Log'!$E:$E,A16))</f>
        <v>0</v>
      </c>
      <c r="S16" s="10" t="n">
        <f aca="false">IF(A16="","",SUMIFS('Job Log'!$H:$H,'Job Log'!$E:$E,A16))</f>
        <v>0</v>
      </c>
      <c r="T16" s="11" t="str">
        <f aca="false">IF(OR(A16="",COUNTIFS('Job Log'!$E:$E,A16,'Job Log'!$I:$I,"&gt;0")=0),"",AVERAGEIFS('Job Log'!$I:$I,'Job Log'!$E:$E,A16,'Job Log'!$I:$I,"&gt;0"))</f>
        <v/>
      </c>
      <c r="U16" s="12" t="str">
        <f aca="false">IF(OR(A16="",COUNTIF('Job Log'!$E:$E,A16)=0),"",SUMPRODUCT(MAX(('Job Log'!$E$2:$E$500=A16)*'Job Log'!$A$2:$A$500)))</f>
        <v/>
      </c>
      <c r="V16" s="13" t="s">
        <v>211</v>
      </c>
    </row>
    <row r="17" customFormat="false" ht="68.65" hidden="false" customHeight="false" outlineLevel="0" collapsed="false">
      <c r="A17" s="13" t="s">
        <v>212</v>
      </c>
      <c r="B17" s="13" t="s">
        <v>213</v>
      </c>
      <c r="C17" s="13" t="s">
        <v>185</v>
      </c>
      <c r="D17" s="13" t="s">
        <v>214</v>
      </c>
      <c r="E17" s="13" t="s">
        <v>215</v>
      </c>
      <c r="F17" s="13" t="s">
        <v>107</v>
      </c>
      <c r="G17" s="13" t="s">
        <v>64</v>
      </c>
      <c r="H17" s="13" t="s">
        <v>216</v>
      </c>
      <c r="I17" s="13" t="s">
        <v>189</v>
      </c>
      <c r="J17" s="14" t="s">
        <v>119</v>
      </c>
      <c r="K17" s="14"/>
      <c r="L17" s="9" t="str">
        <f aca="true">IF(K17="","",K17-TODAY())</f>
        <v/>
      </c>
      <c r="M17" s="13" t="s">
        <v>131</v>
      </c>
      <c r="N17" s="13" t="s">
        <v>217</v>
      </c>
      <c r="O17" s="13"/>
      <c r="P17" s="13" t="s">
        <v>218</v>
      </c>
      <c r="Q17" s="13" t="s">
        <v>135</v>
      </c>
      <c r="R17" s="9" t="n">
        <f aca="false">IF(A17="","",COUNTIF('Job Log'!$E:$E,A17))</f>
        <v>0</v>
      </c>
      <c r="S17" s="10" t="n">
        <f aca="false">IF(A17="","",SUMIFS('Job Log'!$H:$H,'Job Log'!$E:$E,A17))</f>
        <v>0</v>
      </c>
      <c r="T17" s="11" t="str">
        <f aca="false">IF(OR(A17="",COUNTIFS('Job Log'!$E:$E,A17,'Job Log'!$I:$I,"&gt;0")=0),"",AVERAGEIFS('Job Log'!$I:$I,'Job Log'!$E:$E,A17,'Job Log'!$I:$I,"&gt;0"))</f>
        <v/>
      </c>
      <c r="U17" s="12" t="str">
        <f aca="false">IF(OR(A17="",COUNTIF('Job Log'!$E:$E,A17)=0),"",SUMPRODUCT(MAX(('Job Log'!$E$2:$E$500=A17)*'Job Log'!$A$2:$A$500)))</f>
        <v/>
      </c>
      <c r="V17" s="13" t="s">
        <v>219</v>
      </c>
    </row>
    <row r="18" customFormat="false" ht="57.45" hidden="false" customHeight="false" outlineLevel="0" collapsed="false">
      <c r="A18" s="13" t="s">
        <v>220</v>
      </c>
      <c r="B18" s="13" t="s">
        <v>221</v>
      </c>
      <c r="C18" s="13" t="s">
        <v>185</v>
      </c>
      <c r="D18" s="13" t="s">
        <v>222</v>
      </c>
      <c r="E18" s="13" t="s">
        <v>223</v>
      </c>
      <c r="F18" s="13" t="s">
        <v>224</v>
      </c>
      <c r="G18" s="13" t="s">
        <v>64</v>
      </c>
      <c r="H18" s="13" t="s">
        <v>225</v>
      </c>
      <c r="I18" s="13" t="s">
        <v>189</v>
      </c>
      <c r="J18" s="14" t="s">
        <v>119</v>
      </c>
      <c r="K18" s="14"/>
      <c r="L18" s="9" t="str">
        <f aca="true">IF(K18="","",K18-TODAY())</f>
        <v/>
      </c>
      <c r="M18" s="13" t="s">
        <v>131</v>
      </c>
      <c r="N18" s="13" t="s">
        <v>226</v>
      </c>
      <c r="O18" s="13" t="s">
        <v>227</v>
      </c>
      <c r="P18" s="13" t="s">
        <v>172</v>
      </c>
      <c r="Q18" s="13" t="s">
        <v>228</v>
      </c>
      <c r="R18" s="9" t="n">
        <f aca="false">IF(A18="","",COUNTIF('Job Log'!$E:$E,A18))</f>
        <v>0</v>
      </c>
      <c r="S18" s="10" t="n">
        <f aca="false">IF(A18="","",SUMIFS('Job Log'!$H:$H,'Job Log'!$E:$E,A18))</f>
        <v>0</v>
      </c>
      <c r="T18" s="11" t="str">
        <f aca="false">IF(OR(A18="",COUNTIFS('Job Log'!$E:$E,A18,'Job Log'!$I:$I,"&gt;0")=0),"",AVERAGEIFS('Job Log'!$I:$I,'Job Log'!$E:$E,A18,'Job Log'!$I:$I,"&gt;0"))</f>
        <v/>
      </c>
      <c r="U18" s="12" t="str">
        <f aca="false">IF(OR(A18="",COUNTIF('Job Log'!$E:$E,A18)=0),"",SUMPRODUCT(MAX(('Job Log'!$E$2:$E$500=A18)*'Job Log'!$A$2:$A$500)))</f>
        <v/>
      </c>
      <c r="V18" s="13" t="s">
        <v>229</v>
      </c>
    </row>
    <row r="19" customFormat="false" ht="102.2" hidden="false" customHeight="false" outlineLevel="0" collapsed="false">
      <c r="A19" s="13"/>
      <c r="B19" s="13" t="s">
        <v>230</v>
      </c>
      <c r="C19" s="13" t="s">
        <v>185</v>
      </c>
      <c r="D19" s="13" t="s">
        <v>231</v>
      </c>
      <c r="E19" s="13" t="s">
        <v>232</v>
      </c>
      <c r="F19" s="13" t="s">
        <v>116</v>
      </c>
      <c r="G19" s="13" t="s">
        <v>64</v>
      </c>
      <c r="H19" s="13" t="s">
        <v>233</v>
      </c>
      <c r="I19" s="13" t="s">
        <v>189</v>
      </c>
      <c r="J19" s="14" t="s">
        <v>119</v>
      </c>
      <c r="K19" s="14"/>
      <c r="L19" s="9" t="str">
        <f aca="true">IF(K19="","",K19-TODAY())</f>
        <v/>
      </c>
      <c r="M19" s="13" t="s">
        <v>120</v>
      </c>
      <c r="N19" s="13" t="s">
        <v>234</v>
      </c>
      <c r="O19" s="13"/>
      <c r="P19" s="13" t="s">
        <v>172</v>
      </c>
      <c r="Q19" s="13" t="s">
        <v>235</v>
      </c>
      <c r="R19" s="9" t="str">
        <f aca="false">IF(A19="","",COUNTIF('Job Log'!$E:$E,A19))</f>
        <v/>
      </c>
      <c r="S19" s="10" t="str">
        <f aca="false">IF(A19="","",SUMIFS('Job Log'!$H:$H,'Job Log'!$E:$E,A19))</f>
        <v/>
      </c>
      <c r="T19" s="11" t="str">
        <f aca="false">IF(OR(A19="",COUNTIFS('Job Log'!$E:$E,A19,'Job Log'!$I:$I,"&gt;0")=0),"",AVERAGEIFS('Job Log'!$I:$I,'Job Log'!$E:$E,A19,'Job Log'!$I:$I,"&gt;0"))</f>
        <v/>
      </c>
      <c r="U19" s="12" t="str">
        <f aca="false">IF(OR(A19="",COUNTIF('Job Log'!$E:$E,A19)=0),"",SUMPRODUCT(MAX(('Job Log'!$E$2:$E$500=A19)*'Job Log'!$A$2:$A$500)))</f>
        <v/>
      </c>
      <c r="V19" s="13" t="s">
        <v>236</v>
      </c>
    </row>
    <row r="20" customFormat="false" ht="135.8" hidden="false" customHeight="false" outlineLevel="0" collapsed="false">
      <c r="A20" s="13" t="s">
        <v>237</v>
      </c>
      <c r="B20" s="13" t="s">
        <v>238</v>
      </c>
      <c r="C20" s="13" t="s">
        <v>239</v>
      </c>
      <c r="D20" s="13" t="s">
        <v>240</v>
      </c>
      <c r="E20" s="13" t="s">
        <v>241</v>
      </c>
      <c r="F20" s="13" t="s">
        <v>242</v>
      </c>
      <c r="G20" s="13" t="s">
        <v>64</v>
      </c>
      <c r="H20" s="13" t="s">
        <v>243</v>
      </c>
      <c r="I20" s="13" t="s">
        <v>244</v>
      </c>
      <c r="J20" s="14" t="s">
        <v>119</v>
      </c>
      <c r="K20" s="14"/>
      <c r="L20" s="9" t="str">
        <f aca="true">IF(K20="","",K20-TODAY())</f>
        <v/>
      </c>
      <c r="M20" s="13" t="s">
        <v>131</v>
      </c>
      <c r="N20" s="13" t="s">
        <v>245</v>
      </c>
      <c r="O20" s="13"/>
      <c r="P20" s="13" t="s">
        <v>246</v>
      </c>
      <c r="Q20" s="13" t="s">
        <v>135</v>
      </c>
      <c r="R20" s="9" t="n">
        <f aca="false">IF(A20="","",COUNTIF('Job Log'!$E:$E,A20))</f>
        <v>0</v>
      </c>
      <c r="S20" s="10" t="n">
        <f aca="false">IF(A20="","",SUMIFS('Job Log'!$H:$H,'Job Log'!$E:$E,A20))</f>
        <v>0</v>
      </c>
      <c r="T20" s="11" t="str">
        <f aca="false">IF(OR(A20="",COUNTIFS('Job Log'!$E:$E,A20,'Job Log'!$I:$I,"&gt;0")=0),"",AVERAGEIFS('Job Log'!$I:$I,'Job Log'!$E:$E,A20,'Job Log'!$I:$I,"&gt;0"))</f>
        <v/>
      </c>
      <c r="U20" s="12" t="str">
        <f aca="false">IF(OR(A20="",COUNTIF('Job Log'!$E:$E,A20)=0),"",SUMPRODUCT(MAX(('Job Log'!$E$2:$E$500=A20)*'Job Log'!$A$2:$A$500)))</f>
        <v/>
      </c>
      <c r="V20" s="13" t="s">
        <v>247</v>
      </c>
    </row>
    <row r="21" customFormat="false" ht="102.2" hidden="false" customHeight="false" outlineLevel="0" collapsed="false">
      <c r="A21" s="13" t="s">
        <v>248</v>
      </c>
      <c r="B21" s="13" t="s">
        <v>249</v>
      </c>
      <c r="C21" s="13" t="s">
        <v>239</v>
      </c>
      <c r="D21" s="13" t="s">
        <v>250</v>
      </c>
      <c r="E21" s="13" t="s">
        <v>251</v>
      </c>
      <c r="F21" s="13" t="s">
        <v>63</v>
      </c>
      <c r="G21" s="13" t="s">
        <v>64</v>
      </c>
      <c r="H21" s="13" t="s">
        <v>252</v>
      </c>
      <c r="I21" s="13" t="s">
        <v>253</v>
      </c>
      <c r="J21" s="14" t="s">
        <v>119</v>
      </c>
      <c r="K21" s="14"/>
      <c r="L21" s="9" t="str">
        <f aca="true">IF(K21="","",K21-TODAY())</f>
        <v/>
      </c>
      <c r="M21" s="13" t="s">
        <v>131</v>
      </c>
      <c r="N21" s="13" t="s">
        <v>254</v>
      </c>
      <c r="O21" s="13" t="s">
        <v>255</v>
      </c>
      <c r="P21" s="13" t="s">
        <v>256</v>
      </c>
      <c r="Q21" s="13" t="s">
        <v>135</v>
      </c>
      <c r="R21" s="9" t="n">
        <f aca="false">IF(A21="","",COUNTIF('Job Log'!$E:$E,A21))</f>
        <v>0</v>
      </c>
      <c r="S21" s="10" t="n">
        <f aca="false">IF(A21="","",SUMIFS('Job Log'!$H:$H,'Job Log'!$E:$E,A21))</f>
        <v>0</v>
      </c>
      <c r="T21" s="11" t="str">
        <f aca="false">IF(OR(A21="",COUNTIFS('Job Log'!$E:$E,A21,'Job Log'!$I:$I,"&gt;0")=0),"",AVERAGEIFS('Job Log'!$I:$I,'Job Log'!$E:$E,A21,'Job Log'!$I:$I,"&gt;0"))</f>
        <v/>
      </c>
      <c r="U21" s="12" t="str">
        <f aca="false">IF(OR(A21="",COUNTIF('Job Log'!$E:$E,A21)=0),"",SUMPRODUCT(MAX(('Job Log'!$E$2:$E$500=A21)*'Job Log'!$A$2:$A$500)))</f>
        <v/>
      </c>
      <c r="V21" s="13" t="s">
        <v>257</v>
      </c>
    </row>
    <row r="22" customFormat="false" ht="57.45" hidden="false" customHeight="false" outlineLevel="0" collapsed="false">
      <c r="A22" s="13" t="s">
        <v>258</v>
      </c>
      <c r="B22" s="13" t="s">
        <v>259</v>
      </c>
      <c r="C22" s="13" t="s">
        <v>239</v>
      </c>
      <c r="D22" s="13" t="s">
        <v>260</v>
      </c>
      <c r="E22" s="13" t="s">
        <v>261</v>
      </c>
      <c r="F22" s="13" t="s">
        <v>90</v>
      </c>
      <c r="G22" s="13" t="s">
        <v>64</v>
      </c>
      <c r="H22" s="13" t="s">
        <v>262</v>
      </c>
      <c r="I22" s="13" t="s">
        <v>253</v>
      </c>
      <c r="J22" s="14" t="s">
        <v>119</v>
      </c>
      <c r="K22" s="14"/>
      <c r="L22" s="9" t="str">
        <f aca="true">IF(K22="","",K22-TODAY())</f>
        <v/>
      </c>
      <c r="M22" s="13" t="s">
        <v>131</v>
      </c>
      <c r="N22" s="13" t="s">
        <v>263</v>
      </c>
      <c r="O22" s="13"/>
      <c r="P22" s="13"/>
      <c r="Q22" s="13" t="s">
        <v>173</v>
      </c>
      <c r="R22" s="9" t="n">
        <f aca="false">IF(A22="","",COUNTIF('Job Log'!$E:$E,A22))</f>
        <v>0</v>
      </c>
      <c r="S22" s="10" t="n">
        <f aca="false">IF(A22="","",SUMIFS('Job Log'!$H:$H,'Job Log'!$E:$E,A22))</f>
        <v>0</v>
      </c>
      <c r="T22" s="11" t="str">
        <f aca="false">IF(OR(A22="",COUNTIFS('Job Log'!$E:$E,A22,'Job Log'!$I:$I,"&gt;0")=0),"",AVERAGEIFS('Job Log'!$I:$I,'Job Log'!$E:$E,A22,'Job Log'!$I:$I,"&gt;0"))</f>
        <v/>
      </c>
      <c r="U22" s="12" t="str">
        <f aca="false">IF(OR(A22="",COUNTIF('Job Log'!$E:$E,A22)=0),"",SUMPRODUCT(MAX(('Job Log'!$E$2:$E$500=A22)*'Job Log'!$A$2:$A$500)))</f>
        <v/>
      </c>
      <c r="V22" s="13" t="s">
        <v>264</v>
      </c>
    </row>
    <row r="23" customFormat="false" ht="113.4" hidden="false" customHeight="false" outlineLevel="0" collapsed="false">
      <c r="A23" s="13" t="s">
        <v>265</v>
      </c>
      <c r="B23" s="13" t="s">
        <v>266</v>
      </c>
      <c r="C23" s="13" t="s">
        <v>239</v>
      </c>
      <c r="D23" s="13" t="s">
        <v>267</v>
      </c>
      <c r="E23" s="13" t="s">
        <v>268</v>
      </c>
      <c r="F23" s="13" t="s">
        <v>107</v>
      </c>
      <c r="G23" s="13" t="s">
        <v>64</v>
      </c>
      <c r="H23" s="13" t="s">
        <v>269</v>
      </c>
      <c r="I23" s="13" t="s">
        <v>270</v>
      </c>
      <c r="J23" s="14" t="s">
        <v>119</v>
      </c>
      <c r="K23" s="14"/>
      <c r="L23" s="9" t="str">
        <f aca="true">IF(K23="","",K23-TODAY())</f>
        <v/>
      </c>
      <c r="M23" s="13" t="s">
        <v>131</v>
      </c>
      <c r="N23" s="13" t="s">
        <v>271</v>
      </c>
      <c r="O23" s="13" t="s">
        <v>272</v>
      </c>
      <c r="P23" s="13" t="s">
        <v>273</v>
      </c>
      <c r="Q23" s="13" t="s">
        <v>135</v>
      </c>
      <c r="R23" s="9" t="n">
        <f aca="false">IF(A23="","",COUNTIF('Job Log'!$E:$E,A23))</f>
        <v>0</v>
      </c>
      <c r="S23" s="10" t="n">
        <f aca="false">IF(A23="","",SUMIFS('Job Log'!$H:$H,'Job Log'!$E:$E,A23))</f>
        <v>0</v>
      </c>
      <c r="T23" s="11" t="str">
        <f aca="false">IF(OR(A23="",COUNTIFS('Job Log'!$E:$E,A23,'Job Log'!$I:$I,"&gt;0")=0),"",AVERAGEIFS('Job Log'!$I:$I,'Job Log'!$E:$E,A23,'Job Log'!$I:$I,"&gt;0"))</f>
        <v/>
      </c>
      <c r="U23" s="12" t="str">
        <f aca="false">IF(OR(A23="",COUNTIF('Job Log'!$E:$E,A23)=0),"",SUMPRODUCT(MAX(('Job Log'!$E$2:$E$500=A23)*'Job Log'!$A$2:$A$500)))</f>
        <v/>
      </c>
      <c r="V23" s="13" t="s">
        <v>274</v>
      </c>
    </row>
    <row r="24" customFormat="false" ht="79.85" hidden="false" customHeight="false" outlineLevel="0" collapsed="false">
      <c r="A24" s="13" t="s">
        <v>275</v>
      </c>
      <c r="B24" s="13" t="s">
        <v>276</v>
      </c>
      <c r="C24" s="13" t="s">
        <v>239</v>
      </c>
      <c r="D24" s="13" t="s">
        <v>277</v>
      </c>
      <c r="E24" s="13" t="s">
        <v>278</v>
      </c>
      <c r="F24" s="13" t="s">
        <v>107</v>
      </c>
      <c r="G24" s="13" t="s">
        <v>64</v>
      </c>
      <c r="H24" s="13" t="s">
        <v>279</v>
      </c>
      <c r="I24" s="13" t="s">
        <v>253</v>
      </c>
      <c r="J24" s="14" t="s">
        <v>119</v>
      </c>
      <c r="K24" s="14"/>
      <c r="L24" s="9" t="str">
        <f aca="true">IF(K24="","",K24-TODAY())</f>
        <v/>
      </c>
      <c r="M24" s="13" t="s">
        <v>131</v>
      </c>
      <c r="N24" s="13" t="s">
        <v>280</v>
      </c>
      <c r="O24" s="13"/>
      <c r="P24" s="13" t="s">
        <v>281</v>
      </c>
      <c r="Q24" s="13" t="s">
        <v>135</v>
      </c>
      <c r="R24" s="9" t="n">
        <f aca="false">IF(A24="","",COUNTIF('Job Log'!$E:$E,A24))</f>
        <v>0</v>
      </c>
      <c r="S24" s="10" t="n">
        <f aca="false">IF(A24="","",SUMIFS('Job Log'!$H:$H,'Job Log'!$E:$E,A24))</f>
        <v>0</v>
      </c>
      <c r="T24" s="11" t="str">
        <f aca="false">IF(OR(A24="",COUNTIFS('Job Log'!$E:$E,A24,'Job Log'!$I:$I,"&gt;0")=0),"",AVERAGEIFS('Job Log'!$I:$I,'Job Log'!$E:$E,A24,'Job Log'!$I:$I,"&gt;0"))</f>
        <v/>
      </c>
      <c r="U24" s="12" t="str">
        <f aca="false">IF(OR(A24="",COUNTIF('Job Log'!$E:$E,A24)=0),"",SUMPRODUCT(MAX(('Job Log'!$E$2:$E$500=A24)*'Job Log'!$A$2:$A$500)))</f>
        <v/>
      </c>
      <c r="V24" s="13" t="s">
        <v>282</v>
      </c>
    </row>
    <row r="25" customFormat="false" ht="124.6" hidden="false" customHeight="false" outlineLevel="0" collapsed="false">
      <c r="A25" s="13"/>
      <c r="B25" s="13" t="s">
        <v>283</v>
      </c>
      <c r="C25" s="13" t="s">
        <v>239</v>
      </c>
      <c r="D25" s="13" t="s">
        <v>284</v>
      </c>
      <c r="E25" s="13" t="s">
        <v>285</v>
      </c>
      <c r="F25" s="13" t="s">
        <v>116</v>
      </c>
      <c r="G25" s="13" t="s">
        <v>64</v>
      </c>
      <c r="H25" s="13" t="s">
        <v>286</v>
      </c>
      <c r="I25" s="13" t="s">
        <v>253</v>
      </c>
      <c r="J25" s="14" t="s">
        <v>119</v>
      </c>
      <c r="K25" s="14"/>
      <c r="L25" s="9" t="str">
        <f aca="true">IF(K25="","",K25-TODAY())</f>
        <v/>
      </c>
      <c r="M25" s="13" t="s">
        <v>120</v>
      </c>
      <c r="N25" s="13" t="s">
        <v>287</v>
      </c>
      <c r="O25" s="13"/>
      <c r="P25" s="13" t="s">
        <v>288</v>
      </c>
      <c r="Q25" s="13" t="s">
        <v>235</v>
      </c>
      <c r="R25" s="9" t="str">
        <f aca="false">IF(A25="","",COUNTIF('Job Log'!$E:$E,A25))</f>
        <v/>
      </c>
      <c r="S25" s="10" t="str">
        <f aca="false">IF(A25="","",SUMIFS('Job Log'!$H:$H,'Job Log'!$E:$E,A25))</f>
        <v/>
      </c>
      <c r="T25" s="11" t="str">
        <f aca="false">IF(OR(A25="",COUNTIFS('Job Log'!$E:$E,A25,'Job Log'!$I:$I,"&gt;0")=0),"",AVERAGEIFS('Job Log'!$I:$I,'Job Log'!$E:$E,A25,'Job Log'!$I:$I,"&gt;0"))</f>
        <v/>
      </c>
      <c r="U25" s="12" t="str">
        <f aca="false">IF(OR(A25="",COUNTIF('Job Log'!$E:$E,A25)=0),"",SUMPRODUCT(MAX(('Job Log'!$E$2:$E$500=A25)*'Job Log'!$A$2:$A$500)))</f>
        <v/>
      </c>
      <c r="V25" s="13" t="s">
        <v>289</v>
      </c>
    </row>
    <row r="26" customFormat="false" ht="15" hidden="false" customHeight="false" outlineLevel="0" collapsed="false">
      <c r="A26" s="7"/>
      <c r="B26" s="7"/>
      <c r="C26" s="7"/>
      <c r="D26" s="7"/>
      <c r="E26" s="7"/>
      <c r="F26" s="7"/>
      <c r="G26" s="7"/>
      <c r="H26" s="7"/>
      <c r="I26" s="7"/>
      <c r="J26" s="15"/>
      <c r="K26" s="15"/>
      <c r="L26" s="9" t="str">
        <f aca="true">IF(K26="","",K26-TODAY())</f>
        <v/>
      </c>
      <c r="M26" s="7"/>
      <c r="N26" s="7"/>
      <c r="O26" s="7"/>
      <c r="P26" s="7"/>
      <c r="Q26" s="7"/>
      <c r="R26" s="9" t="str">
        <f aca="false">IF(A26="","",COUNTIF('Job Log'!$E:$E,A26))</f>
        <v/>
      </c>
      <c r="S26" s="10" t="str">
        <f aca="false">IF(A26="","",SUMIFS('Job Log'!$H:$H,'Job Log'!$E:$E,A26))</f>
        <v/>
      </c>
      <c r="T26" s="11" t="str">
        <f aca="false">IF(OR(A26="",COUNTIFS('Job Log'!$E:$E,A26,'Job Log'!$I:$I,"&gt;0")=0),"",AVERAGEIFS('Job Log'!$I:$I,'Job Log'!$E:$E,A26,'Job Log'!$I:$I,"&gt;0"))</f>
        <v/>
      </c>
      <c r="U26" s="12" t="str">
        <f aca="false">IF(OR(A26="",COUNTIF('Job Log'!$E:$E,A26)=0),"",SUMPRODUCT(MAX(('Job Log'!$E$2:$E$500=A26)*'Job Log'!$A$2:$A$500)))</f>
        <v/>
      </c>
      <c r="V26" s="7"/>
    </row>
    <row r="27" customFormat="false" ht="15" hidden="false" customHeight="false" outlineLevel="0" collapsed="false">
      <c r="A27" s="7"/>
      <c r="B27" s="7"/>
      <c r="C27" s="7"/>
      <c r="D27" s="7"/>
      <c r="E27" s="7"/>
      <c r="F27" s="7"/>
      <c r="G27" s="7"/>
      <c r="H27" s="7"/>
      <c r="I27" s="7"/>
      <c r="J27" s="15"/>
      <c r="K27" s="15"/>
      <c r="L27" s="9" t="str">
        <f aca="true">IF(K27="","",K27-TODAY())</f>
        <v/>
      </c>
      <c r="M27" s="7"/>
      <c r="N27" s="7"/>
      <c r="O27" s="7"/>
      <c r="P27" s="7"/>
      <c r="Q27" s="7"/>
      <c r="R27" s="9" t="str">
        <f aca="false">IF(A27="","",COUNTIF('Job Log'!$E:$E,A27))</f>
        <v/>
      </c>
      <c r="S27" s="10" t="str">
        <f aca="false">IF(A27="","",SUMIFS('Job Log'!$H:$H,'Job Log'!$E:$E,A27))</f>
        <v/>
      </c>
      <c r="T27" s="11" t="str">
        <f aca="false">IF(OR(A27="",COUNTIFS('Job Log'!$E:$E,A27,'Job Log'!$I:$I,"&gt;0")=0),"",AVERAGEIFS('Job Log'!$I:$I,'Job Log'!$E:$E,A27,'Job Log'!$I:$I,"&gt;0"))</f>
        <v/>
      </c>
      <c r="U27" s="12" t="str">
        <f aca="false">IF(OR(A27="",COUNTIF('Job Log'!$E:$E,A27)=0),"",SUMPRODUCT(MAX(('Job Log'!$E$2:$E$500=A27)*'Job Log'!$A$2:$A$500)))</f>
        <v/>
      </c>
      <c r="V27" s="7"/>
    </row>
    <row r="28" customFormat="false" ht="15" hidden="false" customHeight="false" outlineLevel="0" collapsed="false">
      <c r="A28" s="7"/>
      <c r="B28" s="7"/>
      <c r="C28" s="7"/>
      <c r="D28" s="7"/>
      <c r="E28" s="7"/>
      <c r="F28" s="7"/>
      <c r="G28" s="7"/>
      <c r="H28" s="7"/>
      <c r="I28" s="7"/>
      <c r="J28" s="15"/>
      <c r="K28" s="15"/>
      <c r="L28" s="9" t="str">
        <f aca="true">IF(K28="","",K28-TODAY())</f>
        <v/>
      </c>
      <c r="M28" s="7"/>
      <c r="N28" s="7"/>
      <c r="O28" s="7"/>
      <c r="P28" s="7"/>
      <c r="Q28" s="7"/>
      <c r="R28" s="9" t="str">
        <f aca="false">IF(A28="","",COUNTIF('Job Log'!$E:$E,A28))</f>
        <v/>
      </c>
      <c r="S28" s="10" t="str">
        <f aca="false">IF(A28="","",SUMIFS('Job Log'!$H:$H,'Job Log'!$E:$E,A28))</f>
        <v/>
      </c>
      <c r="T28" s="11" t="str">
        <f aca="false">IF(OR(A28="",COUNTIFS('Job Log'!$E:$E,A28,'Job Log'!$I:$I,"&gt;0")=0),"",AVERAGEIFS('Job Log'!$I:$I,'Job Log'!$E:$E,A28,'Job Log'!$I:$I,"&gt;0"))</f>
        <v/>
      </c>
      <c r="U28" s="12" t="str">
        <f aca="false">IF(OR(A28="",COUNTIF('Job Log'!$E:$E,A28)=0),"",SUMPRODUCT(MAX(('Job Log'!$E$2:$E$500=A28)*'Job Log'!$A$2:$A$500)))</f>
        <v/>
      </c>
      <c r="V28" s="7"/>
    </row>
    <row r="29" customFormat="false" ht="15" hidden="false" customHeight="false" outlineLevel="0" collapsed="false">
      <c r="A29" s="7"/>
      <c r="B29" s="7"/>
      <c r="C29" s="7"/>
      <c r="D29" s="7"/>
      <c r="E29" s="7"/>
      <c r="F29" s="7"/>
      <c r="G29" s="7"/>
      <c r="H29" s="7"/>
      <c r="I29" s="7"/>
      <c r="J29" s="15"/>
      <c r="K29" s="15"/>
      <c r="L29" s="9" t="str">
        <f aca="true">IF(K29="","",K29-TODAY())</f>
        <v/>
      </c>
      <c r="M29" s="7"/>
      <c r="N29" s="7"/>
      <c r="O29" s="7"/>
      <c r="P29" s="7"/>
      <c r="Q29" s="7"/>
      <c r="R29" s="9" t="str">
        <f aca="false">IF(A29="","",COUNTIF('Job Log'!$E:$E,A29))</f>
        <v/>
      </c>
      <c r="S29" s="10" t="str">
        <f aca="false">IF(A29="","",SUMIFS('Job Log'!$H:$H,'Job Log'!$E:$E,A29))</f>
        <v/>
      </c>
      <c r="T29" s="11" t="str">
        <f aca="false">IF(OR(A29="",COUNTIFS('Job Log'!$E:$E,A29,'Job Log'!$I:$I,"&gt;0")=0),"",AVERAGEIFS('Job Log'!$I:$I,'Job Log'!$E:$E,A29,'Job Log'!$I:$I,"&gt;0"))</f>
        <v/>
      </c>
      <c r="U29" s="12" t="str">
        <f aca="false">IF(OR(A29="",COUNTIF('Job Log'!$E:$E,A29)=0),"",SUMPRODUCT(MAX(('Job Log'!$E$2:$E$500=A29)*'Job Log'!$A$2:$A$500)))</f>
        <v/>
      </c>
      <c r="V29" s="7"/>
    </row>
    <row r="30" customFormat="false" ht="15" hidden="false" customHeight="false" outlineLevel="0" collapsed="false">
      <c r="A30" s="7"/>
      <c r="B30" s="7"/>
      <c r="C30" s="7"/>
      <c r="D30" s="7"/>
      <c r="E30" s="7"/>
      <c r="F30" s="7"/>
      <c r="G30" s="7"/>
      <c r="H30" s="7"/>
      <c r="I30" s="7"/>
      <c r="J30" s="15"/>
      <c r="K30" s="15"/>
      <c r="L30" s="9" t="str">
        <f aca="true">IF(K30="","",K30-TODAY())</f>
        <v/>
      </c>
      <c r="M30" s="7"/>
      <c r="N30" s="7"/>
      <c r="O30" s="7"/>
      <c r="P30" s="7"/>
      <c r="Q30" s="7"/>
      <c r="R30" s="9" t="str">
        <f aca="false">IF(A30="","",COUNTIF('Job Log'!$E:$E,A30))</f>
        <v/>
      </c>
      <c r="S30" s="10" t="str">
        <f aca="false">IF(A30="","",SUMIFS('Job Log'!$H:$H,'Job Log'!$E:$E,A30))</f>
        <v/>
      </c>
      <c r="T30" s="11" t="str">
        <f aca="false">IF(OR(A30="",COUNTIFS('Job Log'!$E:$E,A30,'Job Log'!$I:$I,"&gt;0")=0),"",AVERAGEIFS('Job Log'!$I:$I,'Job Log'!$E:$E,A30,'Job Log'!$I:$I,"&gt;0"))</f>
        <v/>
      </c>
      <c r="U30" s="12" t="str">
        <f aca="false">IF(OR(A30="",COUNTIF('Job Log'!$E:$E,A30)=0),"",SUMPRODUCT(MAX(('Job Log'!$E$2:$E$500=A30)*'Job Log'!$A$2:$A$500)))</f>
        <v/>
      </c>
      <c r="V30" s="7"/>
    </row>
    <row r="31" customFormat="false" ht="15" hidden="false" customHeight="false" outlineLevel="0" collapsed="false">
      <c r="A31" s="7"/>
      <c r="B31" s="7"/>
      <c r="C31" s="7"/>
      <c r="D31" s="7"/>
      <c r="E31" s="7"/>
      <c r="F31" s="7"/>
      <c r="G31" s="7"/>
      <c r="H31" s="7"/>
      <c r="I31" s="7"/>
      <c r="J31" s="15"/>
      <c r="K31" s="15"/>
      <c r="L31" s="9" t="str">
        <f aca="true">IF(K31="","",K31-TODAY())</f>
        <v/>
      </c>
      <c r="M31" s="7"/>
      <c r="N31" s="7"/>
      <c r="O31" s="7"/>
      <c r="P31" s="7"/>
      <c r="Q31" s="7"/>
      <c r="R31" s="9" t="str">
        <f aca="false">IF(A31="","",COUNTIF('Job Log'!$E:$E,A31))</f>
        <v/>
      </c>
      <c r="S31" s="10" t="str">
        <f aca="false">IF(A31="","",SUMIFS('Job Log'!$H:$H,'Job Log'!$E:$E,A31))</f>
        <v/>
      </c>
      <c r="T31" s="11" t="str">
        <f aca="false">IF(OR(A31="",COUNTIFS('Job Log'!$E:$E,A31,'Job Log'!$I:$I,"&gt;0")=0),"",AVERAGEIFS('Job Log'!$I:$I,'Job Log'!$E:$E,A31,'Job Log'!$I:$I,"&gt;0"))</f>
        <v/>
      </c>
      <c r="U31" s="12" t="str">
        <f aca="false">IF(OR(A31="",COUNTIF('Job Log'!$E:$E,A31)=0),"",SUMPRODUCT(MAX(('Job Log'!$E$2:$E$500=A31)*'Job Log'!$A$2:$A$500)))</f>
        <v/>
      </c>
      <c r="V31" s="7"/>
    </row>
    <row r="32" customFormat="false" ht="15" hidden="false" customHeight="false" outlineLevel="0" collapsed="false">
      <c r="A32" s="7"/>
      <c r="B32" s="7"/>
      <c r="C32" s="7"/>
      <c r="D32" s="7"/>
      <c r="E32" s="7"/>
      <c r="F32" s="7"/>
      <c r="G32" s="7"/>
      <c r="H32" s="7"/>
      <c r="I32" s="7"/>
      <c r="J32" s="15"/>
      <c r="K32" s="15"/>
      <c r="L32" s="9" t="str">
        <f aca="true">IF(K32="","",K32-TODAY())</f>
        <v/>
      </c>
      <c r="M32" s="7"/>
      <c r="N32" s="7"/>
      <c r="O32" s="7"/>
      <c r="P32" s="7"/>
      <c r="Q32" s="7"/>
      <c r="R32" s="9" t="str">
        <f aca="false">IF(A32="","",COUNTIF('Job Log'!$E:$E,A32))</f>
        <v/>
      </c>
      <c r="S32" s="10" t="str">
        <f aca="false">IF(A32="","",SUMIFS('Job Log'!$H:$H,'Job Log'!$E:$E,A32))</f>
        <v/>
      </c>
      <c r="T32" s="11" t="str">
        <f aca="false">IF(OR(A32="",COUNTIFS('Job Log'!$E:$E,A32,'Job Log'!$I:$I,"&gt;0")=0),"",AVERAGEIFS('Job Log'!$I:$I,'Job Log'!$E:$E,A32,'Job Log'!$I:$I,"&gt;0"))</f>
        <v/>
      </c>
      <c r="U32" s="12" t="str">
        <f aca="false">IF(OR(A32="",COUNTIF('Job Log'!$E:$E,A32)=0),"",SUMPRODUCT(MAX(('Job Log'!$E$2:$E$500=A32)*'Job Log'!$A$2:$A$500)))</f>
        <v/>
      </c>
      <c r="V32" s="7"/>
    </row>
    <row r="33" customFormat="false" ht="15" hidden="false" customHeight="false" outlineLevel="0" collapsed="false">
      <c r="A33" s="7"/>
      <c r="B33" s="7"/>
      <c r="C33" s="7"/>
      <c r="D33" s="7"/>
      <c r="E33" s="7"/>
      <c r="F33" s="7"/>
      <c r="G33" s="7"/>
      <c r="H33" s="7"/>
      <c r="I33" s="7"/>
      <c r="J33" s="15"/>
      <c r="K33" s="15"/>
      <c r="L33" s="9" t="str">
        <f aca="true">IF(K33="","",K33-TODAY())</f>
        <v/>
      </c>
      <c r="M33" s="7"/>
      <c r="N33" s="7"/>
      <c r="O33" s="7"/>
      <c r="P33" s="7"/>
      <c r="Q33" s="7"/>
      <c r="R33" s="9" t="str">
        <f aca="false">IF(A33="","",COUNTIF('Job Log'!$E:$E,A33))</f>
        <v/>
      </c>
      <c r="S33" s="10" t="str">
        <f aca="false">IF(A33="","",SUMIFS('Job Log'!$H:$H,'Job Log'!$E:$E,A33))</f>
        <v/>
      </c>
      <c r="T33" s="11" t="str">
        <f aca="false">IF(OR(A33="",COUNTIFS('Job Log'!$E:$E,A33,'Job Log'!$I:$I,"&gt;0")=0),"",AVERAGEIFS('Job Log'!$I:$I,'Job Log'!$E:$E,A33,'Job Log'!$I:$I,"&gt;0"))</f>
        <v/>
      </c>
      <c r="U33" s="12" t="str">
        <f aca="false">IF(OR(A33="",COUNTIF('Job Log'!$E:$E,A33)=0),"",SUMPRODUCT(MAX(('Job Log'!$E$2:$E$500=A33)*'Job Log'!$A$2:$A$500)))</f>
        <v/>
      </c>
      <c r="V33" s="7"/>
    </row>
    <row r="34" customFormat="false" ht="15" hidden="false" customHeight="false" outlineLevel="0" collapsed="false">
      <c r="A34" s="7"/>
      <c r="B34" s="7"/>
      <c r="C34" s="7"/>
      <c r="D34" s="7"/>
      <c r="E34" s="7"/>
      <c r="F34" s="7"/>
      <c r="G34" s="7"/>
      <c r="H34" s="7"/>
      <c r="I34" s="7"/>
      <c r="J34" s="15"/>
      <c r="K34" s="15"/>
      <c r="L34" s="9" t="str">
        <f aca="true">IF(K34="","",K34-TODAY())</f>
        <v/>
      </c>
      <c r="M34" s="7"/>
      <c r="N34" s="7"/>
      <c r="O34" s="7"/>
      <c r="P34" s="7"/>
      <c r="Q34" s="7"/>
      <c r="R34" s="9" t="str">
        <f aca="false">IF(A34="","",COUNTIF('Job Log'!$E:$E,A34))</f>
        <v/>
      </c>
      <c r="S34" s="10" t="str">
        <f aca="false">IF(A34="","",SUMIFS('Job Log'!$H:$H,'Job Log'!$E:$E,A34))</f>
        <v/>
      </c>
      <c r="T34" s="11" t="str">
        <f aca="false">IF(OR(A34="",COUNTIFS('Job Log'!$E:$E,A34,'Job Log'!$I:$I,"&gt;0")=0),"",AVERAGEIFS('Job Log'!$I:$I,'Job Log'!$E:$E,A34,'Job Log'!$I:$I,"&gt;0"))</f>
        <v/>
      </c>
      <c r="U34" s="12" t="str">
        <f aca="false">IF(OR(A34="",COUNTIF('Job Log'!$E:$E,A34)=0),"",SUMPRODUCT(MAX(('Job Log'!$E$2:$E$500=A34)*'Job Log'!$A$2:$A$500)))</f>
        <v/>
      </c>
      <c r="V34" s="7"/>
    </row>
    <row r="35" customFormat="false" ht="15" hidden="false" customHeight="false" outlineLevel="0" collapsed="false">
      <c r="A35" s="7"/>
      <c r="B35" s="7"/>
      <c r="C35" s="7"/>
      <c r="D35" s="7"/>
      <c r="E35" s="7"/>
      <c r="F35" s="7"/>
      <c r="G35" s="7"/>
      <c r="H35" s="7"/>
      <c r="I35" s="7"/>
      <c r="J35" s="15"/>
      <c r="K35" s="15"/>
      <c r="L35" s="9" t="str">
        <f aca="true">IF(K35="","",K35-TODAY())</f>
        <v/>
      </c>
      <c r="M35" s="7"/>
      <c r="N35" s="7"/>
      <c r="O35" s="7"/>
      <c r="P35" s="7"/>
      <c r="Q35" s="7"/>
      <c r="R35" s="9" t="str">
        <f aca="false">IF(A35="","",COUNTIF('Job Log'!$E:$E,A35))</f>
        <v/>
      </c>
      <c r="S35" s="10" t="str">
        <f aca="false">IF(A35="","",SUMIFS('Job Log'!$H:$H,'Job Log'!$E:$E,A35))</f>
        <v/>
      </c>
      <c r="T35" s="11" t="str">
        <f aca="false">IF(OR(A35="",COUNTIFS('Job Log'!$E:$E,A35,'Job Log'!$I:$I,"&gt;0")=0),"",AVERAGEIFS('Job Log'!$I:$I,'Job Log'!$E:$E,A35,'Job Log'!$I:$I,"&gt;0"))</f>
        <v/>
      </c>
      <c r="U35" s="12" t="str">
        <f aca="false">IF(OR(A35="",COUNTIF('Job Log'!$E:$E,A35)=0),"",SUMPRODUCT(MAX(('Job Log'!$E$2:$E$500=A35)*'Job Log'!$A$2:$A$500)))</f>
        <v/>
      </c>
      <c r="V35" s="7"/>
    </row>
    <row r="36" customFormat="false" ht="15" hidden="false" customHeight="false" outlineLevel="0" collapsed="false">
      <c r="A36" s="7"/>
      <c r="B36" s="7"/>
      <c r="C36" s="7"/>
      <c r="D36" s="7"/>
      <c r="E36" s="7"/>
      <c r="F36" s="7"/>
      <c r="G36" s="7"/>
      <c r="H36" s="7"/>
      <c r="I36" s="7"/>
      <c r="J36" s="15"/>
      <c r="K36" s="15"/>
      <c r="L36" s="9" t="str">
        <f aca="true">IF(K36="","",K36-TODAY())</f>
        <v/>
      </c>
      <c r="M36" s="7"/>
      <c r="N36" s="7"/>
      <c r="O36" s="7"/>
      <c r="P36" s="7"/>
      <c r="Q36" s="7"/>
      <c r="R36" s="9" t="str">
        <f aca="false">IF(A36="","",COUNTIF('Job Log'!$E:$E,A36))</f>
        <v/>
      </c>
      <c r="S36" s="10" t="str">
        <f aca="false">IF(A36="","",SUMIFS('Job Log'!$H:$H,'Job Log'!$E:$E,A36))</f>
        <v/>
      </c>
      <c r="T36" s="11" t="str">
        <f aca="false">IF(OR(A36="",COUNTIFS('Job Log'!$E:$E,A36,'Job Log'!$I:$I,"&gt;0")=0),"",AVERAGEIFS('Job Log'!$I:$I,'Job Log'!$E:$E,A36,'Job Log'!$I:$I,"&gt;0"))</f>
        <v/>
      </c>
      <c r="U36" s="12" t="str">
        <f aca="false">IF(OR(A36="",COUNTIF('Job Log'!$E:$E,A36)=0),"",SUMPRODUCT(MAX(('Job Log'!$E$2:$E$500=A36)*'Job Log'!$A$2:$A$500)))</f>
        <v/>
      </c>
      <c r="V36" s="7"/>
    </row>
    <row r="37" customFormat="false" ht="15" hidden="false" customHeight="false" outlineLevel="0" collapsed="false">
      <c r="A37" s="7"/>
      <c r="B37" s="7"/>
      <c r="C37" s="7"/>
      <c r="D37" s="7"/>
      <c r="E37" s="7"/>
      <c r="F37" s="7"/>
      <c r="G37" s="7"/>
      <c r="H37" s="7"/>
      <c r="I37" s="7"/>
      <c r="J37" s="15"/>
      <c r="K37" s="15"/>
      <c r="L37" s="9" t="str">
        <f aca="true">IF(K37="","",K37-TODAY())</f>
        <v/>
      </c>
      <c r="M37" s="7"/>
      <c r="N37" s="7"/>
      <c r="O37" s="7"/>
      <c r="P37" s="7"/>
      <c r="Q37" s="7"/>
      <c r="R37" s="9" t="str">
        <f aca="false">IF(A37="","",COUNTIF('Job Log'!$E:$E,A37))</f>
        <v/>
      </c>
      <c r="S37" s="10" t="str">
        <f aca="false">IF(A37="","",SUMIFS('Job Log'!$H:$H,'Job Log'!$E:$E,A37))</f>
        <v/>
      </c>
      <c r="T37" s="11" t="str">
        <f aca="false">IF(OR(A37="",COUNTIFS('Job Log'!$E:$E,A37,'Job Log'!$I:$I,"&gt;0")=0),"",AVERAGEIFS('Job Log'!$I:$I,'Job Log'!$E:$E,A37,'Job Log'!$I:$I,"&gt;0"))</f>
        <v/>
      </c>
      <c r="U37" s="12" t="str">
        <f aca="false">IF(OR(A37="",COUNTIF('Job Log'!$E:$E,A37)=0),"",SUMPRODUCT(MAX(('Job Log'!$E$2:$E$500=A37)*'Job Log'!$A$2:$A$500)))</f>
        <v/>
      </c>
      <c r="V37" s="7"/>
    </row>
    <row r="38" customFormat="false" ht="15" hidden="false" customHeight="false" outlineLevel="0" collapsed="false">
      <c r="A38" s="7"/>
      <c r="B38" s="7"/>
      <c r="C38" s="7"/>
      <c r="D38" s="7"/>
      <c r="E38" s="7"/>
      <c r="F38" s="7"/>
      <c r="G38" s="7"/>
      <c r="H38" s="7"/>
      <c r="I38" s="7"/>
      <c r="J38" s="15"/>
      <c r="K38" s="15"/>
      <c r="L38" s="9" t="str">
        <f aca="true">IF(K38="","",K38-TODAY())</f>
        <v/>
      </c>
      <c r="M38" s="7"/>
      <c r="N38" s="7"/>
      <c r="O38" s="7"/>
      <c r="P38" s="7"/>
      <c r="Q38" s="7"/>
      <c r="R38" s="9" t="str">
        <f aca="false">IF(A38="","",COUNTIF('Job Log'!$E:$E,A38))</f>
        <v/>
      </c>
      <c r="S38" s="10" t="str">
        <f aca="false">IF(A38="","",SUMIFS('Job Log'!$H:$H,'Job Log'!$E:$E,A38))</f>
        <v/>
      </c>
      <c r="T38" s="11" t="str">
        <f aca="false">IF(OR(A38="",COUNTIFS('Job Log'!$E:$E,A38,'Job Log'!$I:$I,"&gt;0")=0),"",AVERAGEIFS('Job Log'!$I:$I,'Job Log'!$E:$E,A38,'Job Log'!$I:$I,"&gt;0"))</f>
        <v/>
      </c>
      <c r="U38" s="12" t="str">
        <f aca="false">IF(OR(A38="",COUNTIF('Job Log'!$E:$E,A38)=0),"",SUMPRODUCT(MAX(('Job Log'!$E$2:$E$500=A38)*'Job Log'!$A$2:$A$500)))</f>
        <v/>
      </c>
      <c r="V38" s="7"/>
    </row>
    <row r="39" customFormat="false" ht="15" hidden="false" customHeight="false" outlineLevel="0" collapsed="false">
      <c r="A39" s="7"/>
      <c r="B39" s="7"/>
      <c r="C39" s="7"/>
      <c r="D39" s="7"/>
      <c r="E39" s="7"/>
      <c r="F39" s="7"/>
      <c r="G39" s="7"/>
      <c r="H39" s="7"/>
      <c r="I39" s="7"/>
      <c r="J39" s="15"/>
      <c r="K39" s="15"/>
      <c r="L39" s="9" t="str">
        <f aca="true">IF(K39="","",K39-TODAY())</f>
        <v/>
      </c>
      <c r="M39" s="7"/>
      <c r="N39" s="7"/>
      <c r="O39" s="7"/>
      <c r="P39" s="7"/>
      <c r="Q39" s="7"/>
      <c r="R39" s="9" t="str">
        <f aca="false">IF(A39="","",COUNTIF('Job Log'!$E:$E,A39))</f>
        <v/>
      </c>
      <c r="S39" s="10" t="str">
        <f aca="false">IF(A39="","",SUMIFS('Job Log'!$H:$H,'Job Log'!$E:$E,A39))</f>
        <v/>
      </c>
      <c r="T39" s="11" t="str">
        <f aca="false">IF(OR(A39="",COUNTIFS('Job Log'!$E:$E,A39,'Job Log'!$I:$I,"&gt;0")=0),"",AVERAGEIFS('Job Log'!$I:$I,'Job Log'!$E:$E,A39,'Job Log'!$I:$I,"&gt;0"))</f>
        <v/>
      </c>
      <c r="U39" s="12" t="str">
        <f aca="false">IF(OR(A39="",COUNTIF('Job Log'!$E:$E,A39)=0),"",SUMPRODUCT(MAX(('Job Log'!$E$2:$E$500=A39)*'Job Log'!$A$2:$A$500)))</f>
        <v/>
      </c>
      <c r="V39" s="7"/>
    </row>
    <row r="40" customFormat="false" ht="15" hidden="false" customHeight="false" outlineLevel="0" collapsed="false">
      <c r="A40" s="7"/>
      <c r="B40" s="7"/>
      <c r="C40" s="7"/>
      <c r="D40" s="7"/>
      <c r="E40" s="7"/>
      <c r="F40" s="7"/>
      <c r="G40" s="7"/>
      <c r="H40" s="7"/>
      <c r="I40" s="7"/>
      <c r="J40" s="15"/>
      <c r="K40" s="15"/>
      <c r="L40" s="9" t="str">
        <f aca="true">IF(K40="","",K40-TODAY())</f>
        <v/>
      </c>
      <c r="M40" s="7"/>
      <c r="N40" s="7"/>
      <c r="O40" s="7"/>
      <c r="P40" s="7"/>
      <c r="Q40" s="7"/>
      <c r="R40" s="9" t="str">
        <f aca="false">IF(A40="","",COUNTIF('Job Log'!$E:$E,A40))</f>
        <v/>
      </c>
      <c r="S40" s="10" t="str">
        <f aca="false">IF(A40="","",SUMIFS('Job Log'!$H:$H,'Job Log'!$E:$E,A40))</f>
        <v/>
      </c>
      <c r="T40" s="11" t="str">
        <f aca="false">IF(OR(A40="",COUNTIFS('Job Log'!$E:$E,A40,'Job Log'!$I:$I,"&gt;0")=0),"",AVERAGEIFS('Job Log'!$I:$I,'Job Log'!$E:$E,A40,'Job Log'!$I:$I,"&gt;0"))</f>
        <v/>
      </c>
      <c r="U40" s="12" t="str">
        <f aca="false">IF(OR(A40="",COUNTIF('Job Log'!$E:$E,A40)=0),"",SUMPRODUCT(MAX(('Job Log'!$E$2:$E$500=A40)*'Job Log'!$A$2:$A$500)))</f>
        <v/>
      </c>
      <c r="V40" s="7"/>
    </row>
    <row r="41" customFormat="false" ht="15" hidden="false" customHeight="false" outlineLevel="0" collapsed="false">
      <c r="A41" s="7"/>
      <c r="B41" s="7"/>
      <c r="C41" s="7"/>
      <c r="D41" s="7"/>
      <c r="E41" s="7"/>
      <c r="F41" s="7"/>
      <c r="G41" s="7"/>
      <c r="H41" s="7"/>
      <c r="I41" s="7"/>
      <c r="J41" s="15"/>
      <c r="K41" s="15"/>
      <c r="L41" s="9" t="str">
        <f aca="true">IF(K41="","",K41-TODAY())</f>
        <v/>
      </c>
      <c r="M41" s="7"/>
      <c r="N41" s="7"/>
      <c r="O41" s="7"/>
      <c r="P41" s="7"/>
      <c r="Q41" s="7"/>
      <c r="R41" s="9" t="str">
        <f aca="false">IF(A41="","",COUNTIF('Job Log'!$E:$E,A41))</f>
        <v/>
      </c>
      <c r="S41" s="10" t="str">
        <f aca="false">IF(A41="","",SUMIFS('Job Log'!$H:$H,'Job Log'!$E:$E,A41))</f>
        <v/>
      </c>
      <c r="T41" s="11" t="str">
        <f aca="false">IF(OR(A41="",COUNTIFS('Job Log'!$E:$E,A41,'Job Log'!$I:$I,"&gt;0")=0),"",AVERAGEIFS('Job Log'!$I:$I,'Job Log'!$E:$E,A41,'Job Log'!$I:$I,"&gt;0"))</f>
        <v/>
      </c>
      <c r="U41" s="12" t="str">
        <f aca="false">IF(OR(A41="",COUNTIF('Job Log'!$E:$E,A41)=0),"",SUMPRODUCT(MAX(('Job Log'!$E$2:$E$500=A41)*'Job Log'!$A$2:$A$500)))</f>
        <v/>
      </c>
      <c r="V41" s="7"/>
    </row>
  </sheetData>
  <conditionalFormatting sqref="K2:L41">
    <cfRule type="expression" priority="2" aboveAverage="0" equalAverage="0" bottom="0" percent="0" rank="0" text="" dxfId="0">
      <formula>AND($K2&lt;&gt;"",$K2-TODAY()&lt;30)</formula>
    </cfRule>
  </conditionalFormatting>
  <conditionalFormatting sqref="A2:V41">
    <cfRule type="expression" priority="3" aboveAverage="0" equalAverage="0" bottom="0" percent="0" rank="0" text="" dxfId="1">
      <formula>$G2="Do not use"</formula>
    </cfRule>
  </conditionalFormatting>
  <dataValidations count="4">
    <dataValidation allowBlank="true" errorStyle="stop" operator="between" showDropDown="false" showErrorMessage="false" showInputMessage="false" sqref="C2:C41" type="list">
      <formula1>"Handyman,Plumber,Electrician,HVAC,Roofer,Appliance,Pest,Lawn / Tree,Cleaner / Turnover,Locksmith,Painter,Drywall / Stucco,Pool,Fence / Gate,GC"</formula1>
      <formula2>0</formula2>
    </dataValidation>
    <dataValidation allowBlank="true" errorStyle="stop" operator="between" showDropDown="false" showErrorMessage="false" showInputMessage="false" sqref="F2:F41" type="list">
      <formula1>"Primary,Backup,Trial,Candidate,Retired"</formula1>
      <formula2>0</formula2>
    </dataValidation>
    <dataValidation allowBlank="true" errorStyle="stop" operator="between" showDropDown="false" showErrorMessage="false" showInputMessage="false" sqref="G2:G41" type="list">
      <formula1>"Active,On hold,Do not use"</formula1>
      <formula2>0</formula2>
    </dataValidation>
    <dataValidation allowBlank="true" errorStyle="stop" operator="between" showDropDown="false" showErrorMessage="false" showInputMessage="false" sqref="M2:M41" type="list">
      <formula1>"Y,Exempt,None,Unknown"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30"/>
    <col collapsed="false" customWidth="true" hidden="false" outlineLevel="0" max="4" min="4" style="0" width="13"/>
    <col collapsed="false" customWidth="true" hidden="false" outlineLevel="0" max="5" min="5" style="0" width="18"/>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9"/>
    <col collapsed="false" customWidth="true" hidden="false" outlineLevel="0" max="11" min="10" style="0" width="11"/>
    <col collapsed="false" customWidth="true" hidden="false" outlineLevel="0" max="12" min="12" style="0" width="40"/>
    <col collapsed="false" customWidth="true" hidden="false" outlineLevel="0" max="14" min="14" style="0" width="28"/>
    <col collapsed="false" customWidth="true" hidden="false" outlineLevel="0" max="15" min="15" style="0" width="12"/>
  </cols>
  <sheetData>
    <row r="1" customFormat="false" ht="30" hidden="false" customHeight="true" outlineLevel="0" collapsed="false">
      <c r="A1" s="5" t="s">
        <v>290</v>
      </c>
      <c r="B1" s="5" t="s">
        <v>291</v>
      </c>
      <c r="C1" s="5" t="s">
        <v>292</v>
      </c>
      <c r="D1" s="5" t="s">
        <v>39</v>
      </c>
      <c r="E1" s="5" t="s">
        <v>293</v>
      </c>
      <c r="F1" s="5" t="s">
        <v>294</v>
      </c>
      <c r="G1" s="5" t="s">
        <v>295</v>
      </c>
      <c r="H1" s="5" t="s">
        <v>296</v>
      </c>
      <c r="I1" s="5" t="s">
        <v>297</v>
      </c>
      <c r="J1" s="5" t="s">
        <v>298</v>
      </c>
      <c r="K1" s="5" t="s">
        <v>299</v>
      </c>
      <c r="L1" s="5" t="s">
        <v>300</v>
      </c>
      <c r="N1" s="16" t="s">
        <v>301</v>
      </c>
    </row>
    <row r="2" customFormat="false" ht="23.85" hidden="false" customHeight="false" outlineLevel="0" collapsed="false">
      <c r="A2" s="8" t="n">
        <v>46266</v>
      </c>
      <c r="B2" s="6" t="s">
        <v>28</v>
      </c>
      <c r="C2" s="6" t="s">
        <v>302</v>
      </c>
      <c r="D2" s="6" t="s">
        <v>60</v>
      </c>
      <c r="E2" s="6" t="s">
        <v>58</v>
      </c>
      <c r="F2" s="6" t="s">
        <v>303</v>
      </c>
      <c r="G2" s="17" t="n">
        <v>120</v>
      </c>
      <c r="H2" s="17" t="n">
        <v>110</v>
      </c>
      <c r="I2" s="6" t="n">
        <v>5</v>
      </c>
      <c r="J2" s="6" t="s">
        <v>304</v>
      </c>
      <c r="K2" s="6" t="s">
        <v>304</v>
      </c>
      <c r="L2" s="6" t="s">
        <v>305</v>
      </c>
      <c r="N2" s="18" t="s">
        <v>306</v>
      </c>
      <c r="O2" s="19" t="n">
        <f aca="false">SUM(H2:H500)</f>
        <v>110</v>
      </c>
    </row>
    <row r="3" customFormat="false" ht="15" hidden="false" customHeight="false" outlineLevel="0" collapsed="false">
      <c r="A3" s="15"/>
      <c r="B3" s="7"/>
      <c r="C3" s="7"/>
      <c r="D3" s="7"/>
      <c r="E3" s="7"/>
      <c r="F3" s="7"/>
      <c r="G3" s="20"/>
      <c r="H3" s="20"/>
      <c r="I3" s="7"/>
      <c r="J3" s="7"/>
      <c r="K3" s="7"/>
      <c r="L3" s="7"/>
      <c r="N3" s="18" t="s">
        <v>307</v>
      </c>
      <c r="O3" s="19" t="n">
        <f aca="true">SUMIFS(H2:H500,A2:A500,"&gt;="&amp;(TODAY()-90))</f>
        <v>110</v>
      </c>
    </row>
    <row r="4" customFormat="false" ht="15" hidden="false" customHeight="false" outlineLevel="0" collapsed="false">
      <c r="A4" s="15"/>
      <c r="B4" s="7"/>
      <c r="C4" s="7"/>
      <c r="D4" s="7"/>
      <c r="E4" s="7"/>
      <c r="F4" s="7"/>
      <c r="G4" s="20"/>
      <c r="H4" s="20"/>
      <c r="I4" s="7"/>
      <c r="J4" s="7"/>
      <c r="K4" s="7"/>
      <c r="L4" s="7"/>
      <c r="N4" s="18" t="s">
        <v>308</v>
      </c>
      <c r="O4" s="21" t="n">
        <f aca="true">COUNTIFS(A2:A500,"&gt;="&amp;(TODAY()-90),H2:H500,"&lt;&gt;")</f>
        <v>1</v>
      </c>
    </row>
    <row r="5" customFormat="false" ht="15" hidden="false" customHeight="false" outlineLevel="0" collapsed="false">
      <c r="A5" s="15"/>
      <c r="B5" s="7"/>
      <c r="C5" s="7"/>
      <c r="D5" s="7"/>
      <c r="E5" s="7"/>
      <c r="F5" s="7"/>
      <c r="G5" s="20"/>
      <c r="H5" s="20"/>
      <c r="I5" s="7"/>
      <c r="J5" s="7"/>
      <c r="K5" s="7"/>
      <c r="L5" s="7"/>
      <c r="N5" s="18" t="s">
        <v>309</v>
      </c>
      <c r="O5" s="19" t="n">
        <f aca="false">IF(O4=0,0,O3/O4)</f>
        <v>110</v>
      </c>
    </row>
    <row r="6" customFormat="false" ht="15" hidden="false" customHeight="false" outlineLevel="0" collapsed="false">
      <c r="A6" s="15"/>
      <c r="B6" s="7"/>
      <c r="C6" s="7"/>
      <c r="D6" s="7"/>
      <c r="E6" s="7"/>
      <c r="F6" s="7"/>
      <c r="G6" s="20"/>
      <c r="H6" s="20"/>
      <c r="I6" s="7"/>
      <c r="J6" s="7"/>
      <c r="K6" s="7"/>
      <c r="L6" s="7"/>
      <c r="N6" s="18" t="s">
        <v>310</v>
      </c>
      <c r="O6" s="21" t="n">
        <f aca="true">COUNTIFS(A2:A500,"&gt;="&amp;(TODAY()-90),F2:F500,"Emergency")</f>
        <v>0</v>
      </c>
    </row>
    <row r="7" customFormat="false" ht="15" hidden="false" customHeight="false" outlineLevel="0" collapsed="false">
      <c r="A7" s="15"/>
      <c r="B7" s="7"/>
      <c r="C7" s="7"/>
      <c r="D7" s="7"/>
      <c r="E7" s="7"/>
      <c r="F7" s="7"/>
      <c r="G7" s="20"/>
      <c r="H7" s="20"/>
      <c r="I7" s="7"/>
      <c r="J7" s="7"/>
      <c r="K7" s="7"/>
      <c r="L7" s="7"/>
    </row>
    <row r="8" customFormat="false" ht="15" hidden="false" customHeight="false" outlineLevel="0" collapsed="false">
      <c r="A8" s="15"/>
      <c r="B8" s="7"/>
      <c r="C8" s="7"/>
      <c r="D8" s="7"/>
      <c r="E8" s="7"/>
      <c r="F8" s="7"/>
      <c r="G8" s="20"/>
      <c r="H8" s="20"/>
      <c r="I8" s="7"/>
      <c r="J8" s="7"/>
      <c r="K8" s="7"/>
      <c r="L8" s="7"/>
    </row>
    <row r="9" customFormat="false" ht="15" hidden="false" customHeight="false" outlineLevel="0" collapsed="false">
      <c r="A9" s="15"/>
      <c r="B9" s="7"/>
      <c r="C9" s="7"/>
      <c r="D9" s="7"/>
      <c r="E9" s="7"/>
      <c r="F9" s="7"/>
      <c r="G9" s="20"/>
      <c r="H9" s="20"/>
      <c r="I9" s="7"/>
      <c r="J9" s="7"/>
      <c r="K9" s="7"/>
      <c r="L9" s="7"/>
    </row>
    <row r="10" customFormat="false" ht="15" hidden="false" customHeight="false" outlineLevel="0" collapsed="false">
      <c r="A10" s="15"/>
      <c r="B10" s="7"/>
      <c r="C10" s="7"/>
      <c r="D10" s="7"/>
      <c r="E10" s="7"/>
      <c r="F10" s="7"/>
      <c r="G10" s="20"/>
      <c r="H10" s="20"/>
      <c r="I10" s="7"/>
      <c r="J10" s="7"/>
      <c r="K10" s="7"/>
      <c r="L10" s="7"/>
    </row>
    <row r="11" customFormat="false" ht="15" hidden="false" customHeight="false" outlineLevel="0" collapsed="false">
      <c r="A11" s="15"/>
      <c r="B11" s="7"/>
      <c r="C11" s="7"/>
      <c r="D11" s="7"/>
      <c r="E11" s="7"/>
      <c r="F11" s="7"/>
      <c r="G11" s="20"/>
      <c r="H11" s="20"/>
      <c r="I11" s="7"/>
      <c r="J11" s="7"/>
      <c r="K11" s="7"/>
      <c r="L11" s="7"/>
    </row>
    <row r="12" customFormat="false" ht="15" hidden="false" customHeight="false" outlineLevel="0" collapsed="false">
      <c r="A12" s="15"/>
      <c r="B12" s="7"/>
      <c r="C12" s="7"/>
      <c r="D12" s="7"/>
      <c r="E12" s="7"/>
      <c r="F12" s="7"/>
      <c r="G12" s="20"/>
      <c r="H12" s="20"/>
      <c r="I12" s="7"/>
      <c r="J12" s="7"/>
      <c r="K12" s="7"/>
      <c r="L12" s="7"/>
    </row>
    <row r="13" customFormat="false" ht="15" hidden="false" customHeight="false" outlineLevel="0" collapsed="false">
      <c r="A13" s="15"/>
      <c r="B13" s="7"/>
      <c r="C13" s="7"/>
      <c r="D13" s="7"/>
      <c r="E13" s="7"/>
      <c r="F13" s="7"/>
      <c r="G13" s="20"/>
      <c r="H13" s="20"/>
      <c r="I13" s="7"/>
      <c r="J13" s="7"/>
      <c r="K13" s="7"/>
      <c r="L13" s="7"/>
    </row>
    <row r="14" customFormat="false" ht="15" hidden="false" customHeight="false" outlineLevel="0" collapsed="false">
      <c r="A14" s="15"/>
      <c r="B14" s="7"/>
      <c r="C14" s="7"/>
      <c r="D14" s="7"/>
      <c r="E14" s="7"/>
      <c r="F14" s="7"/>
      <c r="G14" s="20"/>
      <c r="H14" s="20"/>
      <c r="I14" s="7"/>
      <c r="J14" s="7"/>
      <c r="K14" s="7"/>
      <c r="L14" s="7"/>
    </row>
    <row r="15" customFormat="false" ht="15" hidden="false" customHeight="false" outlineLevel="0" collapsed="false">
      <c r="A15" s="15"/>
      <c r="B15" s="7"/>
      <c r="C15" s="7"/>
      <c r="D15" s="7"/>
      <c r="E15" s="7"/>
      <c r="F15" s="7"/>
      <c r="G15" s="20"/>
      <c r="H15" s="20"/>
      <c r="I15" s="7"/>
      <c r="J15" s="7"/>
      <c r="K15" s="7"/>
      <c r="L15" s="7"/>
    </row>
    <row r="16" customFormat="false" ht="15" hidden="false" customHeight="false" outlineLevel="0" collapsed="false">
      <c r="A16" s="15"/>
      <c r="B16" s="7"/>
      <c r="C16" s="7"/>
      <c r="D16" s="7"/>
      <c r="E16" s="7"/>
      <c r="F16" s="7"/>
      <c r="G16" s="20"/>
      <c r="H16" s="20"/>
      <c r="I16" s="7"/>
      <c r="J16" s="7"/>
      <c r="K16" s="7"/>
      <c r="L16" s="7"/>
    </row>
    <row r="17" customFormat="false" ht="15" hidden="false" customHeight="false" outlineLevel="0" collapsed="false">
      <c r="A17" s="15"/>
      <c r="B17" s="7"/>
      <c r="C17" s="7"/>
      <c r="D17" s="7"/>
      <c r="E17" s="7"/>
      <c r="F17" s="7"/>
      <c r="G17" s="20"/>
      <c r="H17" s="20"/>
      <c r="I17" s="7"/>
      <c r="J17" s="7"/>
      <c r="K17" s="7"/>
      <c r="L17" s="7"/>
    </row>
    <row r="18" customFormat="false" ht="15" hidden="false" customHeight="false" outlineLevel="0" collapsed="false">
      <c r="A18" s="15"/>
      <c r="B18" s="7"/>
      <c r="C18" s="7"/>
      <c r="D18" s="7"/>
      <c r="E18" s="7"/>
      <c r="F18" s="7"/>
      <c r="G18" s="20"/>
      <c r="H18" s="20"/>
      <c r="I18" s="7"/>
      <c r="J18" s="7"/>
      <c r="K18" s="7"/>
      <c r="L18" s="7"/>
    </row>
    <row r="19" customFormat="false" ht="15" hidden="false" customHeight="false" outlineLevel="0" collapsed="false">
      <c r="A19" s="15"/>
      <c r="B19" s="7"/>
      <c r="C19" s="7"/>
      <c r="D19" s="7"/>
      <c r="E19" s="7"/>
      <c r="F19" s="7"/>
      <c r="G19" s="20"/>
      <c r="H19" s="20"/>
      <c r="I19" s="7"/>
      <c r="J19" s="7"/>
      <c r="K19" s="7"/>
      <c r="L19" s="7"/>
    </row>
    <row r="20" customFormat="false" ht="15" hidden="false" customHeight="false" outlineLevel="0" collapsed="false">
      <c r="A20" s="15"/>
      <c r="B20" s="7"/>
      <c r="C20" s="7"/>
      <c r="D20" s="7"/>
      <c r="E20" s="7"/>
      <c r="F20" s="7"/>
      <c r="G20" s="20"/>
      <c r="H20" s="20"/>
      <c r="I20" s="7"/>
      <c r="J20" s="7"/>
      <c r="K20" s="7"/>
      <c r="L20" s="7"/>
    </row>
    <row r="21" customFormat="false" ht="15" hidden="false" customHeight="false" outlineLevel="0" collapsed="false">
      <c r="A21" s="15"/>
      <c r="B21" s="7"/>
      <c r="C21" s="7"/>
      <c r="D21" s="7"/>
      <c r="E21" s="7"/>
      <c r="F21" s="7"/>
      <c r="G21" s="20"/>
      <c r="H21" s="20"/>
      <c r="I21" s="7"/>
      <c r="J21" s="7"/>
      <c r="K21" s="7"/>
      <c r="L21" s="7"/>
    </row>
    <row r="22" customFormat="false" ht="15" hidden="false" customHeight="false" outlineLevel="0" collapsed="false">
      <c r="A22" s="15"/>
      <c r="B22" s="7"/>
      <c r="C22" s="7"/>
      <c r="D22" s="7"/>
      <c r="E22" s="7"/>
      <c r="F22" s="7"/>
      <c r="G22" s="20"/>
      <c r="H22" s="20"/>
      <c r="I22" s="7"/>
      <c r="J22" s="7"/>
      <c r="K22" s="7"/>
      <c r="L22" s="7"/>
    </row>
    <row r="23" customFormat="false" ht="15" hidden="false" customHeight="false" outlineLevel="0" collapsed="false">
      <c r="A23" s="15"/>
      <c r="B23" s="7"/>
      <c r="C23" s="7"/>
      <c r="D23" s="7"/>
      <c r="E23" s="7"/>
      <c r="F23" s="7"/>
      <c r="G23" s="20"/>
      <c r="H23" s="20"/>
      <c r="I23" s="7"/>
      <c r="J23" s="7"/>
      <c r="K23" s="7"/>
      <c r="L23" s="7"/>
    </row>
    <row r="24" customFormat="false" ht="15" hidden="false" customHeight="false" outlineLevel="0" collapsed="false">
      <c r="A24" s="15"/>
      <c r="B24" s="7"/>
      <c r="C24" s="7"/>
      <c r="D24" s="7"/>
      <c r="E24" s="7"/>
      <c r="F24" s="7"/>
      <c r="G24" s="20"/>
      <c r="H24" s="20"/>
      <c r="I24" s="7"/>
      <c r="J24" s="7"/>
      <c r="K24" s="7"/>
      <c r="L24" s="7"/>
    </row>
    <row r="25" customFormat="false" ht="15" hidden="false" customHeight="false" outlineLevel="0" collapsed="false">
      <c r="A25" s="15"/>
      <c r="B25" s="7"/>
      <c r="C25" s="7"/>
      <c r="D25" s="7"/>
      <c r="E25" s="7"/>
      <c r="F25" s="7"/>
      <c r="G25" s="20"/>
      <c r="H25" s="20"/>
      <c r="I25" s="7"/>
      <c r="J25" s="7"/>
      <c r="K25" s="7"/>
      <c r="L25" s="7"/>
    </row>
    <row r="26" customFormat="false" ht="15" hidden="false" customHeight="false" outlineLevel="0" collapsed="false">
      <c r="A26" s="15"/>
      <c r="B26" s="7"/>
      <c r="C26" s="7"/>
      <c r="D26" s="7"/>
      <c r="E26" s="7"/>
      <c r="F26" s="7"/>
      <c r="G26" s="20"/>
      <c r="H26" s="20"/>
      <c r="I26" s="7"/>
      <c r="J26" s="7"/>
      <c r="K26" s="7"/>
      <c r="L26" s="7"/>
    </row>
    <row r="27" customFormat="false" ht="15" hidden="false" customHeight="false" outlineLevel="0" collapsed="false">
      <c r="A27" s="15"/>
      <c r="B27" s="7"/>
      <c r="C27" s="7"/>
      <c r="D27" s="7"/>
      <c r="E27" s="7"/>
      <c r="F27" s="7"/>
      <c r="G27" s="20"/>
      <c r="H27" s="20"/>
      <c r="I27" s="7"/>
      <c r="J27" s="7"/>
      <c r="K27" s="7"/>
      <c r="L27" s="7"/>
    </row>
    <row r="28" customFormat="false" ht="15" hidden="false" customHeight="false" outlineLevel="0" collapsed="false">
      <c r="A28" s="15"/>
      <c r="B28" s="7"/>
      <c r="C28" s="7"/>
      <c r="D28" s="7"/>
      <c r="E28" s="7"/>
      <c r="F28" s="7"/>
      <c r="G28" s="20"/>
      <c r="H28" s="20"/>
      <c r="I28" s="7"/>
      <c r="J28" s="7"/>
      <c r="K28" s="7"/>
      <c r="L28" s="7"/>
    </row>
    <row r="29" customFormat="false" ht="15" hidden="false" customHeight="false" outlineLevel="0" collapsed="false">
      <c r="A29" s="15"/>
      <c r="B29" s="7"/>
      <c r="C29" s="7"/>
      <c r="D29" s="7"/>
      <c r="E29" s="7"/>
      <c r="F29" s="7"/>
      <c r="G29" s="20"/>
      <c r="H29" s="20"/>
      <c r="I29" s="7"/>
      <c r="J29" s="7"/>
      <c r="K29" s="7"/>
      <c r="L29" s="7"/>
    </row>
    <row r="30" customFormat="false" ht="15" hidden="false" customHeight="false" outlineLevel="0" collapsed="false">
      <c r="A30" s="15"/>
      <c r="B30" s="7"/>
      <c r="C30" s="7"/>
      <c r="D30" s="7"/>
      <c r="E30" s="7"/>
      <c r="F30" s="7"/>
      <c r="G30" s="20"/>
      <c r="H30" s="20"/>
      <c r="I30" s="7"/>
      <c r="J30" s="7"/>
      <c r="K30" s="7"/>
      <c r="L30" s="7"/>
    </row>
    <row r="31" customFormat="false" ht="15" hidden="false" customHeight="false" outlineLevel="0" collapsed="false">
      <c r="A31" s="15"/>
      <c r="B31" s="7"/>
      <c r="C31" s="7"/>
      <c r="D31" s="7"/>
      <c r="E31" s="7"/>
      <c r="F31" s="7"/>
      <c r="G31" s="20"/>
      <c r="H31" s="20"/>
      <c r="I31" s="7"/>
      <c r="J31" s="7"/>
      <c r="K31" s="7"/>
      <c r="L31" s="7"/>
    </row>
    <row r="32" customFormat="false" ht="15" hidden="false" customHeight="false" outlineLevel="0" collapsed="false">
      <c r="A32" s="15"/>
      <c r="B32" s="7"/>
      <c r="C32" s="7"/>
      <c r="D32" s="7"/>
      <c r="E32" s="7"/>
      <c r="F32" s="7"/>
      <c r="G32" s="20"/>
      <c r="H32" s="20"/>
      <c r="I32" s="7"/>
      <c r="J32" s="7"/>
      <c r="K32" s="7"/>
      <c r="L32" s="7"/>
    </row>
    <row r="33" customFormat="false" ht="15" hidden="false" customHeight="false" outlineLevel="0" collapsed="false">
      <c r="A33" s="15"/>
      <c r="B33" s="7"/>
      <c r="C33" s="7"/>
      <c r="D33" s="7"/>
      <c r="E33" s="7"/>
      <c r="F33" s="7"/>
      <c r="G33" s="20"/>
      <c r="H33" s="20"/>
      <c r="I33" s="7"/>
      <c r="J33" s="7"/>
      <c r="K33" s="7"/>
      <c r="L33" s="7"/>
    </row>
    <row r="34" customFormat="false" ht="15" hidden="false" customHeight="false" outlineLevel="0" collapsed="false">
      <c r="A34" s="15"/>
      <c r="B34" s="7"/>
      <c r="C34" s="7"/>
      <c r="D34" s="7"/>
      <c r="E34" s="7"/>
      <c r="F34" s="7"/>
      <c r="G34" s="20"/>
      <c r="H34" s="20"/>
      <c r="I34" s="7"/>
      <c r="J34" s="7"/>
      <c r="K34" s="7"/>
      <c r="L34" s="7"/>
    </row>
    <row r="35" customFormat="false" ht="15" hidden="false" customHeight="false" outlineLevel="0" collapsed="false">
      <c r="A35" s="15"/>
      <c r="B35" s="7"/>
      <c r="C35" s="7"/>
      <c r="D35" s="7"/>
      <c r="E35" s="7"/>
      <c r="F35" s="7"/>
      <c r="G35" s="20"/>
      <c r="H35" s="20"/>
      <c r="I35" s="7"/>
      <c r="J35" s="7"/>
      <c r="K35" s="7"/>
      <c r="L35" s="7"/>
    </row>
    <row r="36" customFormat="false" ht="15" hidden="false" customHeight="false" outlineLevel="0" collapsed="false">
      <c r="A36" s="15"/>
      <c r="B36" s="7"/>
      <c r="C36" s="7"/>
      <c r="D36" s="7"/>
      <c r="E36" s="7"/>
      <c r="F36" s="7"/>
      <c r="G36" s="20"/>
      <c r="H36" s="20"/>
      <c r="I36" s="7"/>
      <c r="J36" s="7"/>
      <c r="K36" s="7"/>
      <c r="L36" s="7"/>
    </row>
    <row r="37" customFormat="false" ht="15" hidden="false" customHeight="false" outlineLevel="0" collapsed="false">
      <c r="A37" s="15"/>
      <c r="B37" s="7"/>
      <c r="C37" s="7"/>
      <c r="D37" s="7"/>
      <c r="E37" s="7"/>
      <c r="F37" s="7"/>
      <c r="G37" s="20"/>
      <c r="H37" s="20"/>
      <c r="I37" s="7"/>
      <c r="J37" s="7"/>
      <c r="K37" s="7"/>
      <c r="L37" s="7"/>
    </row>
    <row r="38" customFormat="false" ht="15" hidden="false" customHeight="false" outlineLevel="0" collapsed="false">
      <c r="A38" s="15"/>
      <c r="B38" s="7"/>
      <c r="C38" s="7"/>
      <c r="D38" s="7"/>
      <c r="E38" s="7"/>
      <c r="F38" s="7"/>
      <c r="G38" s="20"/>
      <c r="H38" s="20"/>
      <c r="I38" s="7"/>
      <c r="J38" s="7"/>
      <c r="K38" s="7"/>
      <c r="L38" s="7"/>
    </row>
    <row r="39" customFormat="false" ht="15" hidden="false" customHeight="false" outlineLevel="0" collapsed="false">
      <c r="A39" s="15"/>
      <c r="B39" s="7"/>
      <c r="C39" s="7"/>
      <c r="D39" s="7"/>
      <c r="E39" s="7"/>
      <c r="F39" s="7"/>
      <c r="G39" s="20"/>
      <c r="H39" s="20"/>
      <c r="I39" s="7"/>
      <c r="J39" s="7"/>
      <c r="K39" s="7"/>
      <c r="L39" s="7"/>
    </row>
    <row r="40" customFormat="false" ht="15" hidden="false" customHeight="false" outlineLevel="0" collapsed="false">
      <c r="A40" s="15"/>
      <c r="B40" s="7"/>
      <c r="C40" s="7"/>
      <c r="D40" s="7"/>
      <c r="E40" s="7"/>
      <c r="F40" s="7"/>
      <c r="G40" s="20"/>
      <c r="H40" s="20"/>
      <c r="I40" s="7"/>
      <c r="J40" s="7"/>
      <c r="K40" s="7"/>
      <c r="L40" s="7"/>
    </row>
    <row r="41" customFormat="false" ht="15" hidden="false" customHeight="false" outlineLevel="0" collapsed="false">
      <c r="A41" s="22"/>
      <c r="G41" s="23"/>
      <c r="H41" s="23"/>
    </row>
    <row r="42" customFormat="false" ht="15" hidden="false" customHeight="false" outlineLevel="0" collapsed="false">
      <c r="A42" s="22"/>
      <c r="G42" s="23"/>
      <c r="H42" s="23"/>
    </row>
    <row r="43" customFormat="false" ht="15" hidden="false" customHeight="false" outlineLevel="0" collapsed="false">
      <c r="A43" s="22"/>
      <c r="G43" s="23"/>
      <c r="H43" s="23"/>
    </row>
    <row r="44" customFormat="false" ht="15" hidden="false" customHeight="false" outlineLevel="0" collapsed="false">
      <c r="A44" s="22"/>
      <c r="G44" s="23"/>
      <c r="H44" s="23"/>
    </row>
    <row r="45" customFormat="false" ht="15" hidden="false" customHeight="false" outlineLevel="0" collapsed="false">
      <c r="A45" s="22"/>
      <c r="G45" s="23"/>
      <c r="H45" s="23"/>
    </row>
    <row r="46" customFormat="false" ht="15" hidden="false" customHeight="false" outlineLevel="0" collapsed="false">
      <c r="A46" s="22"/>
      <c r="G46" s="23"/>
      <c r="H46" s="23"/>
    </row>
    <row r="47" customFormat="false" ht="15" hidden="false" customHeight="false" outlineLevel="0" collapsed="false">
      <c r="A47" s="22"/>
      <c r="G47" s="23"/>
      <c r="H47" s="23"/>
    </row>
    <row r="48" customFormat="false" ht="15" hidden="false" customHeight="false" outlineLevel="0" collapsed="false">
      <c r="A48" s="22"/>
      <c r="G48" s="23"/>
      <c r="H48" s="23"/>
    </row>
    <row r="49" customFormat="false" ht="15" hidden="false" customHeight="false" outlineLevel="0" collapsed="false">
      <c r="A49" s="22"/>
      <c r="G49" s="23"/>
      <c r="H49" s="23"/>
    </row>
    <row r="50" customFormat="false" ht="15" hidden="false" customHeight="false" outlineLevel="0" collapsed="false">
      <c r="A50" s="22"/>
      <c r="G50" s="23"/>
      <c r="H50" s="23"/>
    </row>
    <row r="51" customFormat="false" ht="15" hidden="false" customHeight="false" outlineLevel="0" collapsed="false">
      <c r="A51" s="22"/>
      <c r="G51" s="23"/>
      <c r="H51" s="23"/>
    </row>
    <row r="52" customFormat="false" ht="15" hidden="false" customHeight="false" outlineLevel="0" collapsed="false">
      <c r="A52" s="22"/>
      <c r="G52" s="23"/>
      <c r="H52" s="23"/>
    </row>
    <row r="53" customFormat="false" ht="15" hidden="false" customHeight="false" outlineLevel="0" collapsed="false">
      <c r="A53" s="22"/>
      <c r="G53" s="23"/>
      <c r="H53" s="23"/>
    </row>
    <row r="54" customFormat="false" ht="15" hidden="false" customHeight="false" outlineLevel="0" collapsed="false">
      <c r="A54" s="22"/>
      <c r="G54" s="23"/>
      <c r="H54" s="23"/>
    </row>
    <row r="55" customFormat="false" ht="15" hidden="false" customHeight="false" outlineLevel="0" collapsed="false">
      <c r="A55" s="22"/>
      <c r="G55" s="23"/>
      <c r="H55" s="23"/>
    </row>
    <row r="56" customFormat="false" ht="15" hidden="false" customHeight="false" outlineLevel="0" collapsed="false">
      <c r="A56" s="22"/>
      <c r="G56" s="23"/>
      <c r="H56" s="23"/>
    </row>
    <row r="57" customFormat="false" ht="15" hidden="false" customHeight="false" outlineLevel="0" collapsed="false">
      <c r="A57" s="22"/>
      <c r="G57" s="23"/>
      <c r="H57" s="23"/>
    </row>
    <row r="58" customFormat="false" ht="15" hidden="false" customHeight="false" outlineLevel="0" collapsed="false">
      <c r="A58" s="22"/>
      <c r="G58" s="23"/>
      <c r="H58" s="23"/>
    </row>
    <row r="59" customFormat="false" ht="15" hidden="false" customHeight="false" outlineLevel="0" collapsed="false">
      <c r="A59" s="22"/>
      <c r="G59" s="23"/>
      <c r="H59" s="23"/>
    </row>
    <row r="60" customFormat="false" ht="15" hidden="false" customHeight="false" outlineLevel="0" collapsed="false">
      <c r="A60" s="22"/>
      <c r="G60" s="23"/>
      <c r="H60" s="23"/>
    </row>
    <row r="61" customFormat="false" ht="15" hidden="false" customHeight="false" outlineLevel="0" collapsed="false">
      <c r="A61" s="22"/>
      <c r="G61" s="23"/>
      <c r="H61" s="23"/>
    </row>
    <row r="62" customFormat="false" ht="15" hidden="false" customHeight="false" outlineLevel="0" collapsed="false">
      <c r="A62" s="22"/>
      <c r="G62" s="23"/>
      <c r="H62" s="23"/>
    </row>
    <row r="63" customFormat="false" ht="15" hidden="false" customHeight="false" outlineLevel="0" collapsed="false">
      <c r="A63" s="22"/>
      <c r="G63" s="23"/>
      <c r="H63" s="23"/>
    </row>
    <row r="64" customFormat="false" ht="15" hidden="false" customHeight="false" outlineLevel="0" collapsed="false">
      <c r="A64" s="22"/>
      <c r="G64" s="23"/>
      <c r="H64" s="23"/>
    </row>
    <row r="65" customFormat="false" ht="15" hidden="false" customHeight="false" outlineLevel="0" collapsed="false">
      <c r="A65" s="22"/>
      <c r="G65" s="23"/>
      <c r="H65" s="23"/>
    </row>
    <row r="66" customFormat="false" ht="15" hidden="false" customHeight="false" outlineLevel="0" collapsed="false">
      <c r="A66" s="22"/>
      <c r="G66" s="23"/>
      <c r="H66" s="23"/>
    </row>
    <row r="67" customFormat="false" ht="15" hidden="false" customHeight="false" outlineLevel="0" collapsed="false">
      <c r="A67" s="22"/>
      <c r="G67" s="23"/>
      <c r="H67" s="23"/>
    </row>
    <row r="68" customFormat="false" ht="15" hidden="false" customHeight="false" outlineLevel="0" collapsed="false">
      <c r="A68" s="22"/>
      <c r="G68" s="23"/>
      <c r="H68" s="23"/>
    </row>
    <row r="69" customFormat="false" ht="15" hidden="false" customHeight="false" outlineLevel="0" collapsed="false">
      <c r="A69" s="22"/>
      <c r="G69" s="23"/>
      <c r="H69" s="23"/>
    </row>
    <row r="70" customFormat="false" ht="15" hidden="false" customHeight="false" outlineLevel="0" collapsed="false">
      <c r="A70" s="22"/>
      <c r="G70" s="23"/>
      <c r="H70" s="23"/>
    </row>
    <row r="71" customFormat="false" ht="15" hidden="false" customHeight="false" outlineLevel="0" collapsed="false">
      <c r="A71" s="22"/>
      <c r="G71" s="23"/>
      <c r="H71" s="23"/>
    </row>
    <row r="72" customFormat="false" ht="15" hidden="false" customHeight="false" outlineLevel="0" collapsed="false">
      <c r="A72" s="22"/>
      <c r="G72" s="23"/>
      <c r="H72" s="23"/>
    </row>
    <row r="73" customFormat="false" ht="15" hidden="false" customHeight="false" outlineLevel="0" collapsed="false">
      <c r="A73" s="22"/>
      <c r="G73" s="23"/>
      <c r="H73" s="23"/>
    </row>
    <row r="74" customFormat="false" ht="15" hidden="false" customHeight="false" outlineLevel="0" collapsed="false">
      <c r="A74" s="22"/>
      <c r="G74" s="23"/>
      <c r="H74" s="23"/>
    </row>
    <row r="75" customFormat="false" ht="15" hidden="false" customHeight="false" outlineLevel="0" collapsed="false">
      <c r="A75" s="22"/>
      <c r="G75" s="23"/>
      <c r="H75" s="23"/>
    </row>
    <row r="76" customFormat="false" ht="15" hidden="false" customHeight="false" outlineLevel="0" collapsed="false">
      <c r="A76" s="22"/>
      <c r="G76" s="23"/>
      <c r="H76" s="23"/>
    </row>
    <row r="77" customFormat="false" ht="15" hidden="false" customHeight="false" outlineLevel="0" collapsed="false">
      <c r="A77" s="22"/>
      <c r="G77" s="23"/>
      <c r="H77" s="23"/>
    </row>
    <row r="78" customFormat="false" ht="15" hidden="false" customHeight="false" outlineLevel="0" collapsed="false">
      <c r="A78" s="22"/>
      <c r="G78" s="23"/>
      <c r="H78" s="23"/>
    </row>
    <row r="79" customFormat="false" ht="15" hidden="false" customHeight="false" outlineLevel="0" collapsed="false">
      <c r="A79" s="22"/>
      <c r="G79" s="23"/>
      <c r="H79" s="23"/>
    </row>
    <row r="80" customFormat="false" ht="15" hidden="false" customHeight="false" outlineLevel="0" collapsed="false">
      <c r="A80" s="22"/>
      <c r="G80" s="23"/>
      <c r="H80" s="23"/>
    </row>
    <row r="81" customFormat="false" ht="15" hidden="false" customHeight="false" outlineLevel="0" collapsed="false">
      <c r="A81" s="22"/>
      <c r="G81" s="23"/>
      <c r="H81" s="23"/>
    </row>
    <row r="82" customFormat="false" ht="15" hidden="false" customHeight="false" outlineLevel="0" collapsed="false">
      <c r="A82" s="22"/>
      <c r="G82" s="23"/>
      <c r="H82" s="23"/>
    </row>
    <row r="83" customFormat="false" ht="15" hidden="false" customHeight="false" outlineLevel="0" collapsed="false">
      <c r="A83" s="22"/>
      <c r="G83" s="23"/>
      <c r="H83" s="23"/>
    </row>
    <row r="84" customFormat="false" ht="15" hidden="false" customHeight="false" outlineLevel="0" collapsed="false">
      <c r="A84" s="22"/>
      <c r="G84" s="23"/>
      <c r="H84" s="23"/>
    </row>
    <row r="85" customFormat="false" ht="15" hidden="false" customHeight="false" outlineLevel="0" collapsed="false">
      <c r="A85" s="22"/>
      <c r="G85" s="23"/>
      <c r="H85" s="23"/>
    </row>
    <row r="86" customFormat="false" ht="15" hidden="false" customHeight="false" outlineLevel="0" collapsed="false">
      <c r="A86" s="22"/>
      <c r="G86" s="23"/>
      <c r="H86" s="23"/>
    </row>
    <row r="87" customFormat="false" ht="15" hidden="false" customHeight="false" outlineLevel="0" collapsed="false">
      <c r="A87" s="22"/>
      <c r="G87" s="23"/>
      <c r="H87" s="23"/>
    </row>
    <row r="88" customFormat="false" ht="15" hidden="false" customHeight="false" outlineLevel="0" collapsed="false">
      <c r="A88" s="22"/>
      <c r="G88" s="23"/>
      <c r="H88" s="23"/>
    </row>
    <row r="89" customFormat="false" ht="15" hidden="false" customHeight="false" outlineLevel="0" collapsed="false">
      <c r="A89" s="22"/>
      <c r="G89" s="23"/>
      <c r="H89" s="23"/>
    </row>
    <row r="90" customFormat="false" ht="15" hidden="false" customHeight="false" outlineLevel="0" collapsed="false">
      <c r="A90" s="22"/>
      <c r="G90" s="23"/>
      <c r="H90" s="23"/>
    </row>
    <row r="91" customFormat="false" ht="15" hidden="false" customHeight="false" outlineLevel="0" collapsed="false">
      <c r="A91" s="22"/>
      <c r="G91" s="23"/>
      <c r="H91" s="23"/>
    </row>
    <row r="92" customFormat="false" ht="15" hidden="false" customHeight="false" outlineLevel="0" collapsed="false">
      <c r="A92" s="22"/>
      <c r="G92" s="23"/>
      <c r="H92" s="23"/>
    </row>
    <row r="93" customFormat="false" ht="15" hidden="false" customHeight="false" outlineLevel="0" collapsed="false">
      <c r="A93" s="22"/>
      <c r="G93" s="23"/>
      <c r="H93" s="23"/>
    </row>
    <row r="94" customFormat="false" ht="15" hidden="false" customHeight="false" outlineLevel="0" collapsed="false">
      <c r="A94" s="22"/>
      <c r="G94" s="23"/>
      <c r="H94" s="23"/>
    </row>
    <row r="95" customFormat="false" ht="15" hidden="false" customHeight="false" outlineLevel="0" collapsed="false">
      <c r="A95" s="22"/>
      <c r="G95" s="23"/>
      <c r="H95" s="23"/>
    </row>
    <row r="96" customFormat="false" ht="15" hidden="false" customHeight="false" outlineLevel="0" collapsed="false">
      <c r="A96" s="22"/>
      <c r="G96" s="23"/>
      <c r="H96" s="23"/>
    </row>
    <row r="97" customFormat="false" ht="15" hidden="false" customHeight="false" outlineLevel="0" collapsed="false">
      <c r="A97" s="22"/>
      <c r="G97" s="23"/>
      <c r="H97" s="23"/>
    </row>
    <row r="98" customFormat="false" ht="15" hidden="false" customHeight="false" outlineLevel="0" collapsed="false">
      <c r="A98" s="22"/>
      <c r="G98" s="23"/>
      <c r="H98" s="23"/>
    </row>
    <row r="99" customFormat="false" ht="15" hidden="false" customHeight="false" outlineLevel="0" collapsed="false">
      <c r="A99" s="22"/>
      <c r="G99" s="23"/>
      <c r="H99" s="23"/>
    </row>
    <row r="100" customFormat="false" ht="15" hidden="false" customHeight="false" outlineLevel="0" collapsed="false">
      <c r="A100" s="22"/>
      <c r="G100" s="23"/>
      <c r="H100" s="23"/>
    </row>
    <row r="101" customFormat="false" ht="15" hidden="false" customHeight="false" outlineLevel="0" collapsed="false">
      <c r="A101" s="22"/>
      <c r="G101" s="23"/>
      <c r="H101" s="23"/>
    </row>
    <row r="102" customFormat="false" ht="15" hidden="false" customHeight="false" outlineLevel="0" collapsed="false">
      <c r="A102" s="22"/>
      <c r="G102" s="23"/>
      <c r="H102" s="23"/>
    </row>
    <row r="103" customFormat="false" ht="15" hidden="false" customHeight="false" outlineLevel="0" collapsed="false">
      <c r="A103" s="22"/>
      <c r="G103" s="23"/>
      <c r="H103" s="23"/>
    </row>
    <row r="104" customFormat="false" ht="15" hidden="false" customHeight="false" outlineLevel="0" collapsed="false">
      <c r="A104" s="22"/>
      <c r="G104" s="23"/>
      <c r="H104" s="23"/>
    </row>
    <row r="105" customFormat="false" ht="15" hidden="false" customHeight="false" outlineLevel="0" collapsed="false">
      <c r="A105" s="22"/>
      <c r="G105" s="23"/>
      <c r="H105" s="23"/>
    </row>
    <row r="106" customFormat="false" ht="15" hidden="false" customHeight="false" outlineLevel="0" collapsed="false">
      <c r="A106" s="22"/>
      <c r="G106" s="23"/>
      <c r="H106" s="23"/>
    </row>
    <row r="107" customFormat="false" ht="15" hidden="false" customHeight="false" outlineLevel="0" collapsed="false">
      <c r="A107" s="22"/>
      <c r="G107" s="23"/>
      <c r="H107" s="23"/>
    </row>
    <row r="108" customFormat="false" ht="15" hidden="false" customHeight="false" outlineLevel="0" collapsed="false">
      <c r="A108" s="22"/>
      <c r="G108" s="23"/>
      <c r="H108" s="23"/>
    </row>
    <row r="109" customFormat="false" ht="15" hidden="false" customHeight="false" outlineLevel="0" collapsed="false">
      <c r="A109" s="22"/>
      <c r="G109" s="23"/>
      <c r="H109" s="23"/>
    </row>
    <row r="110" customFormat="false" ht="15" hidden="false" customHeight="false" outlineLevel="0" collapsed="false">
      <c r="A110" s="22"/>
      <c r="G110" s="23"/>
      <c r="H110" s="23"/>
    </row>
    <row r="111" customFormat="false" ht="15" hidden="false" customHeight="false" outlineLevel="0" collapsed="false">
      <c r="A111" s="22"/>
      <c r="G111" s="23"/>
      <c r="H111" s="23"/>
    </row>
    <row r="112" customFormat="false" ht="15" hidden="false" customHeight="false" outlineLevel="0" collapsed="false">
      <c r="A112" s="22"/>
      <c r="G112" s="23"/>
      <c r="H112" s="23"/>
    </row>
    <row r="113" customFormat="false" ht="15" hidden="false" customHeight="false" outlineLevel="0" collapsed="false">
      <c r="A113" s="22"/>
      <c r="G113" s="23"/>
      <c r="H113" s="23"/>
    </row>
    <row r="114" customFormat="false" ht="15" hidden="false" customHeight="false" outlineLevel="0" collapsed="false">
      <c r="A114" s="22"/>
      <c r="G114" s="23"/>
      <c r="H114" s="23"/>
    </row>
    <row r="115" customFormat="false" ht="15" hidden="false" customHeight="false" outlineLevel="0" collapsed="false">
      <c r="A115" s="22"/>
      <c r="G115" s="23"/>
      <c r="H115" s="23"/>
    </row>
    <row r="116" customFormat="false" ht="15" hidden="false" customHeight="false" outlineLevel="0" collapsed="false">
      <c r="A116" s="22"/>
      <c r="G116" s="23"/>
      <c r="H116" s="23"/>
    </row>
    <row r="117" customFormat="false" ht="15" hidden="false" customHeight="false" outlineLevel="0" collapsed="false">
      <c r="A117" s="22"/>
      <c r="G117" s="23"/>
      <c r="H117" s="23"/>
    </row>
    <row r="118" customFormat="false" ht="15" hidden="false" customHeight="false" outlineLevel="0" collapsed="false">
      <c r="A118" s="22"/>
      <c r="G118" s="23"/>
      <c r="H118" s="23"/>
    </row>
    <row r="119" customFormat="false" ht="15" hidden="false" customHeight="false" outlineLevel="0" collapsed="false">
      <c r="A119" s="22"/>
      <c r="G119" s="23"/>
      <c r="H119" s="23"/>
    </row>
    <row r="120" customFormat="false" ht="15" hidden="false" customHeight="false" outlineLevel="0" collapsed="false">
      <c r="A120" s="22"/>
      <c r="G120" s="23"/>
      <c r="H120" s="23"/>
    </row>
    <row r="121" customFormat="false" ht="15" hidden="false" customHeight="false" outlineLevel="0" collapsed="false">
      <c r="A121" s="22"/>
      <c r="G121" s="23"/>
      <c r="H121" s="23"/>
    </row>
    <row r="122" customFormat="false" ht="15" hidden="false" customHeight="false" outlineLevel="0" collapsed="false">
      <c r="A122" s="22"/>
      <c r="G122" s="23"/>
      <c r="H122" s="23"/>
    </row>
    <row r="123" customFormat="false" ht="15" hidden="false" customHeight="false" outlineLevel="0" collapsed="false">
      <c r="A123" s="22"/>
      <c r="G123" s="23"/>
      <c r="H123" s="23"/>
    </row>
    <row r="124" customFormat="false" ht="15" hidden="false" customHeight="false" outlineLevel="0" collapsed="false">
      <c r="A124" s="22"/>
      <c r="G124" s="23"/>
      <c r="H124" s="23"/>
    </row>
    <row r="125" customFormat="false" ht="15" hidden="false" customHeight="false" outlineLevel="0" collapsed="false">
      <c r="A125" s="22"/>
      <c r="G125" s="23"/>
      <c r="H125" s="23"/>
    </row>
    <row r="126" customFormat="false" ht="15" hidden="false" customHeight="false" outlineLevel="0" collapsed="false">
      <c r="A126" s="22"/>
      <c r="G126" s="23"/>
      <c r="H126" s="23"/>
    </row>
    <row r="127" customFormat="false" ht="15" hidden="false" customHeight="false" outlineLevel="0" collapsed="false">
      <c r="A127" s="22"/>
      <c r="G127" s="23"/>
      <c r="H127" s="23"/>
    </row>
    <row r="128" customFormat="false" ht="15" hidden="false" customHeight="false" outlineLevel="0" collapsed="false">
      <c r="A128" s="22"/>
      <c r="G128" s="23"/>
      <c r="H128" s="23"/>
    </row>
    <row r="129" customFormat="false" ht="15" hidden="false" customHeight="false" outlineLevel="0" collapsed="false">
      <c r="A129" s="22"/>
      <c r="G129" s="23"/>
      <c r="H129" s="23"/>
    </row>
    <row r="130" customFormat="false" ht="15" hidden="false" customHeight="false" outlineLevel="0" collapsed="false">
      <c r="A130" s="22"/>
      <c r="G130" s="23"/>
      <c r="H130" s="23"/>
    </row>
    <row r="131" customFormat="false" ht="15" hidden="false" customHeight="false" outlineLevel="0" collapsed="false">
      <c r="A131" s="22"/>
      <c r="G131" s="23"/>
      <c r="H131" s="23"/>
    </row>
    <row r="132" customFormat="false" ht="15" hidden="false" customHeight="false" outlineLevel="0" collapsed="false">
      <c r="A132" s="22"/>
      <c r="G132" s="23"/>
      <c r="H132" s="23"/>
    </row>
    <row r="133" customFormat="false" ht="15" hidden="false" customHeight="false" outlineLevel="0" collapsed="false">
      <c r="A133" s="22"/>
      <c r="G133" s="23"/>
      <c r="H133" s="23"/>
    </row>
    <row r="134" customFormat="false" ht="15" hidden="false" customHeight="false" outlineLevel="0" collapsed="false">
      <c r="A134" s="22"/>
      <c r="G134" s="23"/>
      <c r="H134" s="23"/>
    </row>
    <row r="135" customFormat="false" ht="15" hidden="false" customHeight="false" outlineLevel="0" collapsed="false">
      <c r="A135" s="22"/>
      <c r="G135" s="23"/>
      <c r="H135" s="23"/>
    </row>
    <row r="136" customFormat="false" ht="15" hidden="false" customHeight="false" outlineLevel="0" collapsed="false">
      <c r="A136" s="22"/>
      <c r="G136" s="23"/>
      <c r="H136" s="23"/>
    </row>
    <row r="137" customFormat="false" ht="15" hidden="false" customHeight="false" outlineLevel="0" collapsed="false">
      <c r="A137" s="22"/>
      <c r="G137" s="23"/>
      <c r="H137" s="23"/>
    </row>
    <row r="138" customFormat="false" ht="15" hidden="false" customHeight="false" outlineLevel="0" collapsed="false">
      <c r="A138" s="22"/>
      <c r="G138" s="23"/>
      <c r="H138" s="23"/>
    </row>
    <row r="139" customFormat="false" ht="15" hidden="false" customHeight="false" outlineLevel="0" collapsed="false">
      <c r="A139" s="22"/>
      <c r="G139" s="23"/>
      <c r="H139" s="23"/>
    </row>
    <row r="140" customFormat="false" ht="15" hidden="false" customHeight="false" outlineLevel="0" collapsed="false">
      <c r="A140" s="22"/>
      <c r="G140" s="23"/>
      <c r="H140" s="23"/>
    </row>
    <row r="141" customFormat="false" ht="15" hidden="false" customHeight="false" outlineLevel="0" collapsed="false">
      <c r="A141" s="22"/>
      <c r="G141" s="23"/>
      <c r="H141" s="23"/>
    </row>
    <row r="142" customFormat="false" ht="15" hidden="false" customHeight="false" outlineLevel="0" collapsed="false">
      <c r="A142" s="22"/>
      <c r="G142" s="23"/>
      <c r="H142" s="23"/>
    </row>
    <row r="143" customFormat="false" ht="15" hidden="false" customHeight="false" outlineLevel="0" collapsed="false">
      <c r="A143" s="22"/>
      <c r="G143" s="23"/>
      <c r="H143" s="23"/>
    </row>
    <row r="144" customFormat="false" ht="15" hidden="false" customHeight="false" outlineLevel="0" collapsed="false">
      <c r="A144" s="22"/>
      <c r="G144" s="23"/>
      <c r="H144" s="23"/>
    </row>
    <row r="145" customFormat="false" ht="15" hidden="false" customHeight="false" outlineLevel="0" collapsed="false">
      <c r="A145" s="22"/>
      <c r="G145" s="23"/>
      <c r="H145" s="23"/>
    </row>
    <row r="146" customFormat="false" ht="15" hidden="false" customHeight="false" outlineLevel="0" collapsed="false">
      <c r="A146" s="22"/>
      <c r="G146" s="23"/>
      <c r="H146" s="23"/>
    </row>
    <row r="147" customFormat="false" ht="15" hidden="false" customHeight="false" outlineLevel="0" collapsed="false">
      <c r="A147" s="22"/>
      <c r="G147" s="23"/>
      <c r="H147" s="23"/>
    </row>
    <row r="148" customFormat="false" ht="15" hidden="false" customHeight="false" outlineLevel="0" collapsed="false">
      <c r="A148" s="22"/>
      <c r="G148" s="23"/>
      <c r="H148" s="23"/>
    </row>
    <row r="149" customFormat="false" ht="15" hidden="false" customHeight="false" outlineLevel="0" collapsed="false">
      <c r="A149" s="22"/>
      <c r="G149" s="23"/>
      <c r="H149" s="23"/>
    </row>
    <row r="150" customFormat="false" ht="15" hidden="false" customHeight="false" outlineLevel="0" collapsed="false">
      <c r="A150" s="22"/>
      <c r="G150" s="23"/>
      <c r="H150" s="23"/>
    </row>
    <row r="151" customFormat="false" ht="15" hidden="false" customHeight="false" outlineLevel="0" collapsed="false">
      <c r="A151" s="22"/>
      <c r="G151" s="23"/>
      <c r="H151" s="23"/>
    </row>
    <row r="152" customFormat="false" ht="15" hidden="false" customHeight="false" outlineLevel="0" collapsed="false">
      <c r="A152" s="22"/>
      <c r="G152" s="23"/>
      <c r="H152" s="23"/>
    </row>
    <row r="153" customFormat="false" ht="15" hidden="false" customHeight="false" outlineLevel="0" collapsed="false">
      <c r="A153" s="22"/>
      <c r="G153" s="23"/>
      <c r="H153" s="23"/>
    </row>
    <row r="154" customFormat="false" ht="15" hidden="false" customHeight="false" outlineLevel="0" collapsed="false">
      <c r="A154" s="22"/>
      <c r="G154" s="23"/>
      <c r="H154" s="23"/>
    </row>
    <row r="155" customFormat="false" ht="15" hidden="false" customHeight="false" outlineLevel="0" collapsed="false">
      <c r="A155" s="22"/>
      <c r="G155" s="23"/>
      <c r="H155" s="23"/>
    </row>
    <row r="156" customFormat="false" ht="15" hidden="false" customHeight="false" outlineLevel="0" collapsed="false">
      <c r="A156" s="22"/>
      <c r="G156" s="23"/>
      <c r="H156" s="23"/>
    </row>
    <row r="157" customFormat="false" ht="15" hidden="false" customHeight="false" outlineLevel="0" collapsed="false">
      <c r="A157" s="22"/>
      <c r="G157" s="23"/>
      <c r="H157" s="23"/>
    </row>
    <row r="158" customFormat="false" ht="15" hidden="false" customHeight="false" outlineLevel="0" collapsed="false">
      <c r="A158" s="22"/>
      <c r="G158" s="23"/>
      <c r="H158" s="23"/>
    </row>
    <row r="159" customFormat="false" ht="15" hidden="false" customHeight="false" outlineLevel="0" collapsed="false">
      <c r="A159" s="22"/>
      <c r="G159" s="23"/>
      <c r="H159" s="23"/>
    </row>
    <row r="160" customFormat="false" ht="15" hidden="false" customHeight="false" outlineLevel="0" collapsed="false">
      <c r="A160" s="22"/>
      <c r="G160" s="23"/>
      <c r="H160" s="23"/>
    </row>
    <row r="161" customFormat="false" ht="15" hidden="false" customHeight="false" outlineLevel="0" collapsed="false">
      <c r="A161" s="22"/>
      <c r="G161" s="23"/>
      <c r="H161" s="23"/>
    </row>
    <row r="162" customFormat="false" ht="15" hidden="false" customHeight="false" outlineLevel="0" collapsed="false">
      <c r="A162" s="22"/>
      <c r="G162" s="23"/>
      <c r="H162" s="23"/>
    </row>
    <row r="163" customFormat="false" ht="15" hidden="false" customHeight="false" outlineLevel="0" collapsed="false">
      <c r="A163" s="22"/>
      <c r="G163" s="23"/>
      <c r="H163" s="23"/>
    </row>
    <row r="164" customFormat="false" ht="15" hidden="false" customHeight="false" outlineLevel="0" collapsed="false">
      <c r="A164" s="22"/>
      <c r="G164" s="23"/>
      <c r="H164" s="23"/>
    </row>
    <row r="165" customFormat="false" ht="15" hidden="false" customHeight="false" outlineLevel="0" collapsed="false">
      <c r="A165" s="22"/>
      <c r="G165" s="23"/>
      <c r="H165" s="23"/>
    </row>
    <row r="166" customFormat="false" ht="15" hidden="false" customHeight="false" outlineLevel="0" collapsed="false">
      <c r="A166" s="22"/>
      <c r="G166" s="23"/>
      <c r="H166" s="23"/>
    </row>
    <row r="167" customFormat="false" ht="15" hidden="false" customHeight="false" outlineLevel="0" collapsed="false">
      <c r="A167" s="22"/>
      <c r="G167" s="23"/>
      <c r="H167" s="23"/>
    </row>
    <row r="168" customFormat="false" ht="15" hidden="false" customHeight="false" outlineLevel="0" collapsed="false">
      <c r="A168" s="22"/>
      <c r="G168" s="23"/>
      <c r="H168" s="23"/>
    </row>
    <row r="169" customFormat="false" ht="15" hidden="false" customHeight="false" outlineLevel="0" collapsed="false">
      <c r="A169" s="22"/>
      <c r="G169" s="23"/>
      <c r="H169" s="23"/>
    </row>
    <row r="170" customFormat="false" ht="15" hidden="false" customHeight="false" outlineLevel="0" collapsed="false">
      <c r="A170" s="22"/>
      <c r="G170" s="23"/>
      <c r="H170" s="23"/>
    </row>
    <row r="171" customFormat="false" ht="15" hidden="false" customHeight="false" outlineLevel="0" collapsed="false">
      <c r="A171" s="22"/>
      <c r="G171" s="23"/>
      <c r="H171" s="23"/>
    </row>
    <row r="172" customFormat="false" ht="15" hidden="false" customHeight="false" outlineLevel="0" collapsed="false">
      <c r="A172" s="22"/>
      <c r="G172" s="23"/>
      <c r="H172" s="23"/>
    </row>
    <row r="173" customFormat="false" ht="15" hidden="false" customHeight="false" outlineLevel="0" collapsed="false">
      <c r="A173" s="22"/>
      <c r="G173" s="23"/>
      <c r="H173" s="23"/>
    </row>
    <row r="174" customFormat="false" ht="15" hidden="false" customHeight="false" outlineLevel="0" collapsed="false">
      <c r="A174" s="22"/>
      <c r="G174" s="23"/>
      <c r="H174" s="23"/>
    </row>
    <row r="175" customFormat="false" ht="15" hidden="false" customHeight="false" outlineLevel="0" collapsed="false">
      <c r="A175" s="22"/>
      <c r="G175" s="23"/>
      <c r="H175" s="23"/>
    </row>
    <row r="176" customFormat="false" ht="15" hidden="false" customHeight="false" outlineLevel="0" collapsed="false">
      <c r="A176" s="22"/>
      <c r="G176" s="23"/>
      <c r="H176" s="23"/>
    </row>
    <row r="177" customFormat="false" ht="15" hidden="false" customHeight="false" outlineLevel="0" collapsed="false">
      <c r="A177" s="22"/>
      <c r="G177" s="23"/>
      <c r="H177" s="23"/>
    </row>
    <row r="178" customFormat="false" ht="15" hidden="false" customHeight="false" outlineLevel="0" collapsed="false">
      <c r="A178" s="22"/>
      <c r="G178" s="23"/>
      <c r="H178" s="23"/>
    </row>
    <row r="179" customFormat="false" ht="15" hidden="false" customHeight="false" outlineLevel="0" collapsed="false">
      <c r="A179" s="22"/>
      <c r="G179" s="23"/>
      <c r="H179" s="23"/>
    </row>
    <row r="180" customFormat="false" ht="15" hidden="false" customHeight="false" outlineLevel="0" collapsed="false">
      <c r="A180" s="22"/>
      <c r="G180" s="23"/>
      <c r="H180" s="23"/>
    </row>
    <row r="181" customFormat="false" ht="15" hidden="false" customHeight="false" outlineLevel="0" collapsed="false">
      <c r="A181" s="22"/>
      <c r="G181" s="23"/>
      <c r="H181" s="23"/>
    </row>
    <row r="182" customFormat="false" ht="15" hidden="false" customHeight="false" outlineLevel="0" collapsed="false">
      <c r="A182" s="22"/>
      <c r="G182" s="23"/>
      <c r="H182" s="23"/>
    </row>
    <row r="183" customFormat="false" ht="15" hidden="false" customHeight="false" outlineLevel="0" collapsed="false">
      <c r="A183" s="22"/>
      <c r="G183" s="23"/>
      <c r="H183" s="23"/>
    </row>
    <row r="184" customFormat="false" ht="15" hidden="false" customHeight="false" outlineLevel="0" collapsed="false">
      <c r="A184" s="22"/>
      <c r="G184" s="23"/>
      <c r="H184" s="23"/>
    </row>
    <row r="185" customFormat="false" ht="15" hidden="false" customHeight="false" outlineLevel="0" collapsed="false">
      <c r="A185" s="22"/>
      <c r="G185" s="23"/>
      <c r="H185" s="23"/>
    </row>
    <row r="186" customFormat="false" ht="15" hidden="false" customHeight="false" outlineLevel="0" collapsed="false">
      <c r="A186" s="22"/>
      <c r="G186" s="23"/>
      <c r="H186" s="23"/>
    </row>
    <row r="187" customFormat="false" ht="15" hidden="false" customHeight="false" outlineLevel="0" collapsed="false">
      <c r="A187" s="22"/>
      <c r="G187" s="23"/>
      <c r="H187" s="23"/>
    </row>
    <row r="188" customFormat="false" ht="15" hidden="false" customHeight="false" outlineLevel="0" collapsed="false">
      <c r="A188" s="22"/>
      <c r="G188" s="23"/>
      <c r="H188" s="23"/>
    </row>
    <row r="189" customFormat="false" ht="15" hidden="false" customHeight="false" outlineLevel="0" collapsed="false">
      <c r="A189" s="22"/>
      <c r="G189" s="23"/>
      <c r="H189" s="23"/>
    </row>
    <row r="190" customFormat="false" ht="15" hidden="false" customHeight="false" outlineLevel="0" collapsed="false">
      <c r="A190" s="22"/>
      <c r="G190" s="23"/>
      <c r="H190" s="23"/>
    </row>
    <row r="191" customFormat="false" ht="15" hidden="false" customHeight="false" outlineLevel="0" collapsed="false">
      <c r="A191" s="22"/>
      <c r="G191" s="23"/>
      <c r="H191" s="23"/>
    </row>
    <row r="192" customFormat="false" ht="15" hidden="false" customHeight="false" outlineLevel="0" collapsed="false">
      <c r="A192" s="22"/>
      <c r="G192" s="23"/>
      <c r="H192" s="23"/>
    </row>
    <row r="193" customFormat="false" ht="15" hidden="false" customHeight="false" outlineLevel="0" collapsed="false">
      <c r="A193" s="22"/>
      <c r="G193" s="23"/>
      <c r="H193" s="23"/>
    </row>
    <row r="194" customFormat="false" ht="15" hidden="false" customHeight="false" outlineLevel="0" collapsed="false">
      <c r="A194" s="22"/>
      <c r="G194" s="23"/>
      <c r="H194" s="23"/>
    </row>
    <row r="195" customFormat="false" ht="15" hidden="false" customHeight="false" outlineLevel="0" collapsed="false">
      <c r="A195" s="22"/>
      <c r="G195" s="23"/>
      <c r="H195" s="23"/>
    </row>
    <row r="196" customFormat="false" ht="15" hidden="false" customHeight="false" outlineLevel="0" collapsed="false">
      <c r="A196" s="22"/>
      <c r="G196" s="23"/>
      <c r="H196" s="23"/>
    </row>
    <row r="197" customFormat="false" ht="15" hidden="false" customHeight="false" outlineLevel="0" collapsed="false">
      <c r="A197" s="22"/>
      <c r="G197" s="23"/>
      <c r="H197" s="23"/>
    </row>
    <row r="198" customFormat="false" ht="15" hidden="false" customHeight="false" outlineLevel="0" collapsed="false">
      <c r="A198" s="22"/>
      <c r="G198" s="23"/>
      <c r="H198" s="23"/>
    </row>
    <row r="199" customFormat="false" ht="15" hidden="false" customHeight="false" outlineLevel="0" collapsed="false">
      <c r="A199" s="22"/>
      <c r="G199" s="23"/>
      <c r="H199" s="23"/>
    </row>
    <row r="200" customFormat="false" ht="15" hidden="false" customHeight="false" outlineLevel="0" collapsed="false">
      <c r="A200" s="22"/>
      <c r="G200" s="23"/>
      <c r="H200" s="23"/>
    </row>
    <row r="201" customFormat="false" ht="15" hidden="false" customHeight="false" outlineLevel="0" collapsed="false">
      <c r="A201" s="22"/>
      <c r="G201" s="23"/>
      <c r="H201" s="23"/>
    </row>
    <row r="202" customFormat="false" ht="15" hidden="false" customHeight="false" outlineLevel="0" collapsed="false">
      <c r="A202" s="22"/>
      <c r="G202" s="23"/>
      <c r="H202" s="23"/>
    </row>
    <row r="203" customFormat="false" ht="15" hidden="false" customHeight="false" outlineLevel="0" collapsed="false">
      <c r="A203" s="22"/>
      <c r="G203" s="23"/>
      <c r="H203" s="23"/>
    </row>
    <row r="204" customFormat="false" ht="15" hidden="false" customHeight="false" outlineLevel="0" collapsed="false">
      <c r="A204" s="22"/>
      <c r="G204" s="23"/>
      <c r="H204" s="23"/>
    </row>
    <row r="205" customFormat="false" ht="15" hidden="false" customHeight="false" outlineLevel="0" collapsed="false">
      <c r="A205" s="22"/>
      <c r="G205" s="23"/>
      <c r="H205" s="23"/>
    </row>
    <row r="206" customFormat="false" ht="15" hidden="false" customHeight="false" outlineLevel="0" collapsed="false">
      <c r="A206" s="22"/>
      <c r="G206" s="23"/>
      <c r="H206" s="23"/>
    </row>
    <row r="207" customFormat="false" ht="15" hidden="false" customHeight="false" outlineLevel="0" collapsed="false">
      <c r="A207" s="22"/>
      <c r="G207" s="23"/>
      <c r="H207" s="23"/>
    </row>
    <row r="208" customFormat="false" ht="15" hidden="false" customHeight="false" outlineLevel="0" collapsed="false">
      <c r="A208" s="22"/>
      <c r="G208" s="23"/>
      <c r="H208" s="23"/>
    </row>
    <row r="209" customFormat="false" ht="15" hidden="false" customHeight="false" outlineLevel="0" collapsed="false">
      <c r="A209" s="22"/>
      <c r="G209" s="23"/>
      <c r="H209" s="23"/>
    </row>
    <row r="210" customFormat="false" ht="15" hidden="false" customHeight="false" outlineLevel="0" collapsed="false">
      <c r="A210" s="22"/>
      <c r="G210" s="23"/>
      <c r="H210" s="23"/>
    </row>
    <row r="211" customFormat="false" ht="15" hidden="false" customHeight="false" outlineLevel="0" collapsed="false">
      <c r="A211" s="22"/>
      <c r="G211" s="23"/>
      <c r="H211" s="23"/>
    </row>
    <row r="212" customFormat="false" ht="15" hidden="false" customHeight="false" outlineLevel="0" collapsed="false">
      <c r="A212" s="22"/>
      <c r="G212" s="23"/>
      <c r="H212" s="23"/>
    </row>
    <row r="213" customFormat="false" ht="15" hidden="false" customHeight="false" outlineLevel="0" collapsed="false">
      <c r="A213" s="22"/>
      <c r="G213" s="23"/>
      <c r="H213" s="23"/>
    </row>
    <row r="214" customFormat="false" ht="15" hidden="false" customHeight="false" outlineLevel="0" collapsed="false">
      <c r="A214" s="22"/>
      <c r="G214" s="23"/>
      <c r="H214" s="23"/>
    </row>
    <row r="215" customFormat="false" ht="15" hidden="false" customHeight="false" outlineLevel="0" collapsed="false">
      <c r="A215" s="22"/>
      <c r="G215" s="23"/>
      <c r="H215" s="23"/>
    </row>
    <row r="216" customFormat="false" ht="15" hidden="false" customHeight="false" outlineLevel="0" collapsed="false">
      <c r="A216" s="22"/>
      <c r="G216" s="23"/>
      <c r="H216" s="23"/>
    </row>
    <row r="217" customFormat="false" ht="15" hidden="false" customHeight="false" outlineLevel="0" collapsed="false">
      <c r="A217" s="22"/>
      <c r="G217" s="23"/>
      <c r="H217" s="23"/>
    </row>
    <row r="218" customFormat="false" ht="15" hidden="false" customHeight="false" outlineLevel="0" collapsed="false">
      <c r="A218" s="22"/>
      <c r="G218" s="23"/>
      <c r="H218" s="23"/>
    </row>
    <row r="219" customFormat="false" ht="15" hidden="false" customHeight="false" outlineLevel="0" collapsed="false">
      <c r="A219" s="22"/>
      <c r="G219" s="23"/>
      <c r="H219" s="23"/>
    </row>
    <row r="220" customFormat="false" ht="15" hidden="false" customHeight="false" outlineLevel="0" collapsed="false">
      <c r="A220" s="22"/>
      <c r="G220" s="23"/>
      <c r="H220" s="23"/>
    </row>
    <row r="221" customFormat="false" ht="15" hidden="false" customHeight="false" outlineLevel="0" collapsed="false">
      <c r="A221" s="22"/>
      <c r="G221" s="23"/>
      <c r="H221" s="23"/>
    </row>
    <row r="222" customFormat="false" ht="15" hidden="false" customHeight="false" outlineLevel="0" collapsed="false">
      <c r="A222" s="22"/>
      <c r="G222" s="23"/>
      <c r="H222" s="23"/>
    </row>
    <row r="223" customFormat="false" ht="15" hidden="false" customHeight="false" outlineLevel="0" collapsed="false">
      <c r="A223" s="22"/>
      <c r="G223" s="23"/>
      <c r="H223" s="23"/>
    </row>
    <row r="224" customFormat="false" ht="15" hidden="false" customHeight="false" outlineLevel="0" collapsed="false">
      <c r="A224" s="22"/>
      <c r="G224" s="23"/>
      <c r="H224" s="23"/>
    </row>
    <row r="225" customFormat="false" ht="15" hidden="false" customHeight="false" outlineLevel="0" collapsed="false">
      <c r="A225" s="22"/>
      <c r="G225" s="23"/>
      <c r="H225" s="23"/>
    </row>
    <row r="226" customFormat="false" ht="15" hidden="false" customHeight="false" outlineLevel="0" collapsed="false">
      <c r="A226" s="22"/>
      <c r="G226" s="23"/>
      <c r="H226" s="23"/>
    </row>
    <row r="227" customFormat="false" ht="15" hidden="false" customHeight="false" outlineLevel="0" collapsed="false">
      <c r="A227" s="22"/>
      <c r="G227" s="23"/>
      <c r="H227" s="23"/>
    </row>
    <row r="228" customFormat="false" ht="15" hidden="false" customHeight="false" outlineLevel="0" collapsed="false">
      <c r="A228" s="22"/>
      <c r="G228" s="23"/>
      <c r="H228" s="23"/>
    </row>
    <row r="229" customFormat="false" ht="15" hidden="false" customHeight="false" outlineLevel="0" collapsed="false">
      <c r="A229" s="22"/>
      <c r="G229" s="23"/>
      <c r="H229" s="23"/>
    </row>
    <row r="230" customFormat="false" ht="15" hidden="false" customHeight="false" outlineLevel="0" collapsed="false">
      <c r="A230" s="22"/>
      <c r="G230" s="23"/>
      <c r="H230" s="23"/>
    </row>
    <row r="231" customFormat="false" ht="15" hidden="false" customHeight="false" outlineLevel="0" collapsed="false">
      <c r="A231" s="22"/>
      <c r="G231" s="23"/>
      <c r="H231" s="23"/>
    </row>
    <row r="232" customFormat="false" ht="15" hidden="false" customHeight="false" outlineLevel="0" collapsed="false">
      <c r="A232" s="22"/>
      <c r="G232" s="23"/>
      <c r="H232" s="23"/>
    </row>
    <row r="233" customFormat="false" ht="15" hidden="false" customHeight="false" outlineLevel="0" collapsed="false">
      <c r="A233" s="22"/>
      <c r="G233" s="23"/>
      <c r="H233" s="23"/>
    </row>
    <row r="234" customFormat="false" ht="15" hidden="false" customHeight="false" outlineLevel="0" collapsed="false">
      <c r="A234" s="22"/>
      <c r="G234" s="23"/>
      <c r="H234" s="23"/>
    </row>
    <row r="235" customFormat="false" ht="15" hidden="false" customHeight="false" outlineLevel="0" collapsed="false">
      <c r="A235" s="22"/>
      <c r="G235" s="23"/>
      <c r="H235" s="23"/>
    </row>
    <row r="236" customFormat="false" ht="15" hidden="false" customHeight="false" outlineLevel="0" collapsed="false">
      <c r="A236" s="22"/>
      <c r="G236" s="23"/>
      <c r="H236" s="23"/>
    </row>
    <row r="237" customFormat="false" ht="15" hidden="false" customHeight="false" outlineLevel="0" collapsed="false">
      <c r="A237" s="22"/>
      <c r="G237" s="23"/>
      <c r="H237" s="23"/>
    </row>
    <row r="238" customFormat="false" ht="15" hidden="false" customHeight="false" outlineLevel="0" collapsed="false">
      <c r="A238" s="22"/>
      <c r="G238" s="23"/>
      <c r="H238" s="23"/>
    </row>
    <row r="239" customFormat="false" ht="15" hidden="false" customHeight="false" outlineLevel="0" collapsed="false">
      <c r="A239" s="22"/>
      <c r="G239" s="23"/>
      <c r="H239" s="23"/>
    </row>
    <row r="240" customFormat="false" ht="15" hidden="false" customHeight="false" outlineLevel="0" collapsed="false">
      <c r="A240" s="22"/>
      <c r="G240" s="23"/>
      <c r="H240" s="23"/>
    </row>
    <row r="241" customFormat="false" ht="15" hidden="false" customHeight="false" outlineLevel="0" collapsed="false">
      <c r="A241" s="22"/>
      <c r="G241" s="23"/>
      <c r="H241" s="23"/>
    </row>
    <row r="242" customFormat="false" ht="15" hidden="false" customHeight="false" outlineLevel="0" collapsed="false">
      <c r="A242" s="22"/>
      <c r="G242" s="23"/>
      <c r="H242" s="23"/>
    </row>
    <row r="243" customFormat="false" ht="15" hidden="false" customHeight="false" outlineLevel="0" collapsed="false">
      <c r="A243" s="22"/>
      <c r="G243" s="23"/>
      <c r="H243" s="23"/>
    </row>
    <row r="244" customFormat="false" ht="15" hidden="false" customHeight="false" outlineLevel="0" collapsed="false">
      <c r="A244" s="22"/>
      <c r="G244" s="23"/>
      <c r="H244" s="23"/>
    </row>
    <row r="245" customFormat="false" ht="15" hidden="false" customHeight="false" outlineLevel="0" collapsed="false">
      <c r="A245" s="22"/>
      <c r="G245" s="23"/>
      <c r="H245" s="23"/>
    </row>
    <row r="246" customFormat="false" ht="15" hidden="false" customHeight="false" outlineLevel="0" collapsed="false">
      <c r="A246" s="22"/>
      <c r="G246" s="23"/>
      <c r="H246" s="23"/>
    </row>
    <row r="247" customFormat="false" ht="15" hidden="false" customHeight="false" outlineLevel="0" collapsed="false">
      <c r="A247" s="22"/>
      <c r="G247" s="23"/>
      <c r="H247" s="23"/>
    </row>
    <row r="248" customFormat="false" ht="15" hidden="false" customHeight="false" outlineLevel="0" collapsed="false">
      <c r="A248" s="22"/>
      <c r="G248" s="23"/>
      <c r="H248" s="23"/>
    </row>
    <row r="249" customFormat="false" ht="15" hidden="false" customHeight="false" outlineLevel="0" collapsed="false">
      <c r="A249" s="22"/>
      <c r="G249" s="23"/>
      <c r="H249" s="23"/>
    </row>
    <row r="250" customFormat="false" ht="15" hidden="false" customHeight="false" outlineLevel="0" collapsed="false">
      <c r="A250" s="22"/>
      <c r="G250" s="23"/>
      <c r="H250" s="23"/>
    </row>
    <row r="251" customFormat="false" ht="15" hidden="false" customHeight="false" outlineLevel="0" collapsed="false">
      <c r="A251" s="22"/>
      <c r="G251" s="23"/>
      <c r="H251" s="23"/>
    </row>
    <row r="252" customFormat="false" ht="15" hidden="false" customHeight="false" outlineLevel="0" collapsed="false">
      <c r="A252" s="22"/>
      <c r="G252" s="23"/>
      <c r="H252" s="23"/>
    </row>
    <row r="253" customFormat="false" ht="15" hidden="false" customHeight="false" outlineLevel="0" collapsed="false">
      <c r="A253" s="22"/>
      <c r="G253" s="23"/>
      <c r="H253" s="23"/>
    </row>
    <row r="254" customFormat="false" ht="15" hidden="false" customHeight="false" outlineLevel="0" collapsed="false">
      <c r="A254" s="22"/>
      <c r="G254" s="23"/>
      <c r="H254" s="23"/>
    </row>
    <row r="255" customFormat="false" ht="15" hidden="false" customHeight="false" outlineLevel="0" collapsed="false">
      <c r="A255" s="22"/>
      <c r="G255" s="23"/>
      <c r="H255" s="23"/>
    </row>
    <row r="256" customFormat="false" ht="15" hidden="false" customHeight="false" outlineLevel="0" collapsed="false">
      <c r="A256" s="22"/>
      <c r="G256" s="23"/>
      <c r="H256" s="23"/>
    </row>
    <row r="257" customFormat="false" ht="15" hidden="false" customHeight="false" outlineLevel="0" collapsed="false">
      <c r="A257" s="22"/>
      <c r="G257" s="23"/>
      <c r="H257" s="23"/>
    </row>
    <row r="258" customFormat="false" ht="15" hidden="false" customHeight="false" outlineLevel="0" collapsed="false">
      <c r="A258" s="22"/>
      <c r="G258" s="23"/>
      <c r="H258" s="23"/>
    </row>
    <row r="259" customFormat="false" ht="15" hidden="false" customHeight="false" outlineLevel="0" collapsed="false">
      <c r="A259" s="22"/>
      <c r="G259" s="23"/>
      <c r="H259" s="23"/>
    </row>
    <row r="260" customFormat="false" ht="15" hidden="false" customHeight="false" outlineLevel="0" collapsed="false">
      <c r="A260" s="22"/>
      <c r="G260" s="23"/>
      <c r="H260" s="23"/>
    </row>
    <row r="261" customFormat="false" ht="15" hidden="false" customHeight="false" outlineLevel="0" collapsed="false">
      <c r="A261" s="22"/>
      <c r="G261" s="23"/>
      <c r="H261" s="23"/>
    </row>
    <row r="262" customFormat="false" ht="15" hidden="false" customHeight="false" outlineLevel="0" collapsed="false">
      <c r="A262" s="22"/>
      <c r="G262" s="23"/>
      <c r="H262" s="23"/>
    </row>
    <row r="263" customFormat="false" ht="15" hidden="false" customHeight="false" outlineLevel="0" collapsed="false">
      <c r="A263" s="22"/>
      <c r="G263" s="23"/>
      <c r="H263" s="23"/>
    </row>
    <row r="264" customFormat="false" ht="15" hidden="false" customHeight="false" outlineLevel="0" collapsed="false">
      <c r="A264" s="22"/>
      <c r="G264" s="23"/>
      <c r="H264" s="23"/>
    </row>
    <row r="265" customFormat="false" ht="15" hidden="false" customHeight="false" outlineLevel="0" collapsed="false">
      <c r="A265" s="22"/>
      <c r="G265" s="23"/>
      <c r="H265" s="23"/>
    </row>
    <row r="266" customFormat="false" ht="15" hidden="false" customHeight="false" outlineLevel="0" collapsed="false">
      <c r="A266" s="22"/>
      <c r="G266" s="23"/>
      <c r="H266" s="23"/>
    </row>
    <row r="267" customFormat="false" ht="15" hidden="false" customHeight="false" outlineLevel="0" collapsed="false">
      <c r="A267" s="22"/>
      <c r="G267" s="23"/>
      <c r="H267" s="23"/>
    </row>
    <row r="268" customFormat="false" ht="15" hidden="false" customHeight="false" outlineLevel="0" collapsed="false">
      <c r="A268" s="22"/>
      <c r="G268" s="23"/>
      <c r="H268" s="23"/>
    </row>
    <row r="269" customFormat="false" ht="15" hidden="false" customHeight="false" outlineLevel="0" collapsed="false">
      <c r="A269" s="22"/>
      <c r="G269" s="23"/>
      <c r="H269" s="23"/>
    </row>
    <row r="270" customFormat="false" ht="15" hidden="false" customHeight="false" outlineLevel="0" collapsed="false">
      <c r="A270" s="22"/>
      <c r="G270" s="23"/>
      <c r="H270" s="23"/>
    </row>
    <row r="271" customFormat="false" ht="15" hidden="false" customHeight="false" outlineLevel="0" collapsed="false">
      <c r="A271" s="22"/>
      <c r="G271" s="23"/>
      <c r="H271" s="23"/>
    </row>
    <row r="272" customFormat="false" ht="15" hidden="false" customHeight="false" outlineLevel="0" collapsed="false">
      <c r="A272" s="22"/>
      <c r="G272" s="23"/>
      <c r="H272" s="23"/>
    </row>
    <row r="273" customFormat="false" ht="15" hidden="false" customHeight="false" outlineLevel="0" collapsed="false">
      <c r="A273" s="22"/>
      <c r="G273" s="23"/>
      <c r="H273" s="23"/>
    </row>
    <row r="274" customFormat="false" ht="15" hidden="false" customHeight="false" outlineLevel="0" collapsed="false">
      <c r="A274" s="22"/>
      <c r="G274" s="23"/>
      <c r="H274" s="23"/>
    </row>
    <row r="275" customFormat="false" ht="15" hidden="false" customHeight="false" outlineLevel="0" collapsed="false">
      <c r="A275" s="22"/>
      <c r="G275" s="23"/>
      <c r="H275" s="23"/>
    </row>
    <row r="276" customFormat="false" ht="15" hidden="false" customHeight="false" outlineLevel="0" collapsed="false">
      <c r="A276" s="22"/>
      <c r="G276" s="23"/>
      <c r="H276" s="23"/>
    </row>
    <row r="277" customFormat="false" ht="15" hidden="false" customHeight="false" outlineLevel="0" collapsed="false">
      <c r="A277" s="22"/>
      <c r="G277" s="23"/>
      <c r="H277" s="23"/>
    </row>
    <row r="278" customFormat="false" ht="15" hidden="false" customHeight="false" outlineLevel="0" collapsed="false">
      <c r="A278" s="22"/>
      <c r="G278" s="23"/>
      <c r="H278" s="23"/>
    </row>
    <row r="279" customFormat="false" ht="15" hidden="false" customHeight="false" outlineLevel="0" collapsed="false">
      <c r="A279" s="22"/>
      <c r="G279" s="23"/>
      <c r="H279" s="23"/>
    </row>
    <row r="280" customFormat="false" ht="15" hidden="false" customHeight="false" outlineLevel="0" collapsed="false">
      <c r="A280" s="22"/>
      <c r="G280" s="23"/>
      <c r="H280" s="23"/>
    </row>
    <row r="281" customFormat="false" ht="15" hidden="false" customHeight="false" outlineLevel="0" collapsed="false">
      <c r="A281" s="22"/>
      <c r="G281" s="23"/>
      <c r="H281" s="23"/>
    </row>
    <row r="282" customFormat="false" ht="15" hidden="false" customHeight="false" outlineLevel="0" collapsed="false">
      <c r="A282" s="22"/>
      <c r="G282" s="23"/>
      <c r="H282" s="23"/>
    </row>
    <row r="283" customFormat="false" ht="15" hidden="false" customHeight="false" outlineLevel="0" collapsed="false">
      <c r="A283" s="22"/>
      <c r="G283" s="23"/>
      <c r="H283" s="23"/>
    </row>
    <row r="284" customFormat="false" ht="15" hidden="false" customHeight="false" outlineLevel="0" collapsed="false">
      <c r="A284" s="22"/>
      <c r="G284" s="23"/>
      <c r="H284" s="23"/>
    </row>
    <row r="285" customFormat="false" ht="15" hidden="false" customHeight="false" outlineLevel="0" collapsed="false">
      <c r="A285" s="22"/>
      <c r="G285" s="23"/>
      <c r="H285" s="23"/>
    </row>
    <row r="286" customFormat="false" ht="15" hidden="false" customHeight="false" outlineLevel="0" collapsed="false">
      <c r="A286" s="22"/>
      <c r="G286" s="23"/>
      <c r="H286" s="23"/>
    </row>
    <row r="287" customFormat="false" ht="15" hidden="false" customHeight="false" outlineLevel="0" collapsed="false">
      <c r="A287" s="22"/>
      <c r="G287" s="23"/>
      <c r="H287" s="23"/>
    </row>
    <row r="288" customFormat="false" ht="15" hidden="false" customHeight="false" outlineLevel="0" collapsed="false">
      <c r="A288" s="22"/>
      <c r="G288" s="23"/>
      <c r="H288" s="23"/>
    </row>
    <row r="289" customFormat="false" ht="15" hidden="false" customHeight="false" outlineLevel="0" collapsed="false">
      <c r="A289" s="22"/>
      <c r="G289" s="23"/>
      <c r="H289" s="23"/>
    </row>
    <row r="290" customFormat="false" ht="15" hidden="false" customHeight="false" outlineLevel="0" collapsed="false">
      <c r="A290" s="22"/>
      <c r="G290" s="23"/>
      <c r="H290" s="23"/>
    </row>
    <row r="291" customFormat="false" ht="15" hidden="false" customHeight="false" outlineLevel="0" collapsed="false">
      <c r="A291" s="22"/>
      <c r="G291" s="23"/>
      <c r="H291" s="23"/>
    </row>
    <row r="292" customFormat="false" ht="15" hidden="false" customHeight="false" outlineLevel="0" collapsed="false">
      <c r="A292" s="22"/>
      <c r="G292" s="23"/>
      <c r="H292" s="23"/>
    </row>
    <row r="293" customFormat="false" ht="15" hidden="false" customHeight="false" outlineLevel="0" collapsed="false">
      <c r="A293" s="22"/>
      <c r="G293" s="23"/>
      <c r="H293" s="23"/>
    </row>
    <row r="294" customFormat="false" ht="15" hidden="false" customHeight="false" outlineLevel="0" collapsed="false">
      <c r="A294" s="22"/>
      <c r="G294" s="23"/>
      <c r="H294" s="23"/>
    </row>
    <row r="295" customFormat="false" ht="15" hidden="false" customHeight="false" outlineLevel="0" collapsed="false">
      <c r="A295" s="22"/>
      <c r="G295" s="23"/>
      <c r="H295" s="23"/>
    </row>
    <row r="296" customFormat="false" ht="15" hidden="false" customHeight="false" outlineLevel="0" collapsed="false">
      <c r="A296" s="22"/>
      <c r="G296" s="23"/>
      <c r="H296" s="23"/>
    </row>
    <row r="297" customFormat="false" ht="15" hidden="false" customHeight="false" outlineLevel="0" collapsed="false">
      <c r="A297" s="22"/>
      <c r="G297" s="23"/>
      <c r="H297" s="23"/>
    </row>
    <row r="298" customFormat="false" ht="15" hidden="false" customHeight="false" outlineLevel="0" collapsed="false">
      <c r="A298" s="22"/>
      <c r="G298" s="23"/>
      <c r="H298" s="23"/>
    </row>
    <row r="299" customFormat="false" ht="15" hidden="false" customHeight="false" outlineLevel="0" collapsed="false">
      <c r="A299" s="22"/>
      <c r="G299" s="23"/>
      <c r="H299" s="23"/>
    </row>
    <row r="300" customFormat="false" ht="15" hidden="false" customHeight="false" outlineLevel="0" collapsed="false">
      <c r="A300" s="22"/>
      <c r="G300" s="23"/>
      <c r="H300" s="23"/>
    </row>
    <row r="301" customFormat="false" ht="15" hidden="false" customHeight="false" outlineLevel="0" collapsed="false">
      <c r="A301" s="22"/>
      <c r="G301" s="23"/>
      <c r="H301" s="23"/>
    </row>
    <row r="302" customFormat="false" ht="15" hidden="false" customHeight="false" outlineLevel="0" collapsed="false">
      <c r="A302" s="22"/>
      <c r="G302" s="23"/>
      <c r="H302" s="23"/>
    </row>
    <row r="303" customFormat="false" ht="15" hidden="false" customHeight="false" outlineLevel="0" collapsed="false">
      <c r="A303" s="22"/>
      <c r="G303" s="23"/>
      <c r="H303" s="23"/>
    </row>
    <row r="304" customFormat="false" ht="15" hidden="false" customHeight="false" outlineLevel="0" collapsed="false">
      <c r="A304" s="22"/>
      <c r="G304" s="23"/>
      <c r="H304" s="23"/>
    </row>
    <row r="305" customFormat="false" ht="15" hidden="false" customHeight="false" outlineLevel="0" collapsed="false">
      <c r="A305" s="22"/>
      <c r="G305" s="23"/>
      <c r="H305" s="23"/>
    </row>
    <row r="306" customFormat="false" ht="15" hidden="false" customHeight="false" outlineLevel="0" collapsed="false">
      <c r="A306" s="22"/>
      <c r="G306" s="23"/>
      <c r="H306" s="23"/>
    </row>
    <row r="307" customFormat="false" ht="15" hidden="false" customHeight="false" outlineLevel="0" collapsed="false">
      <c r="A307" s="22"/>
      <c r="G307" s="23"/>
      <c r="H307" s="23"/>
    </row>
    <row r="308" customFormat="false" ht="15" hidden="false" customHeight="false" outlineLevel="0" collapsed="false">
      <c r="A308" s="22"/>
      <c r="G308" s="23"/>
      <c r="H308" s="23"/>
    </row>
    <row r="309" customFormat="false" ht="15" hidden="false" customHeight="false" outlineLevel="0" collapsed="false">
      <c r="A309" s="22"/>
      <c r="G309" s="23"/>
      <c r="H309" s="23"/>
    </row>
    <row r="310" customFormat="false" ht="15" hidden="false" customHeight="false" outlineLevel="0" collapsed="false">
      <c r="A310" s="22"/>
      <c r="G310" s="23"/>
      <c r="H310" s="23"/>
    </row>
    <row r="311" customFormat="false" ht="15" hidden="false" customHeight="false" outlineLevel="0" collapsed="false">
      <c r="A311" s="22"/>
      <c r="G311" s="23"/>
      <c r="H311" s="23"/>
    </row>
    <row r="312" customFormat="false" ht="15" hidden="false" customHeight="false" outlineLevel="0" collapsed="false">
      <c r="A312" s="22"/>
      <c r="G312" s="23"/>
      <c r="H312" s="23"/>
    </row>
    <row r="313" customFormat="false" ht="15" hidden="false" customHeight="false" outlineLevel="0" collapsed="false">
      <c r="A313" s="22"/>
      <c r="G313" s="23"/>
      <c r="H313" s="23"/>
    </row>
    <row r="314" customFormat="false" ht="15" hidden="false" customHeight="false" outlineLevel="0" collapsed="false">
      <c r="A314" s="22"/>
      <c r="G314" s="23"/>
      <c r="H314" s="23"/>
    </row>
    <row r="315" customFormat="false" ht="15" hidden="false" customHeight="false" outlineLevel="0" collapsed="false">
      <c r="A315" s="22"/>
      <c r="G315" s="23"/>
      <c r="H315" s="23"/>
    </row>
    <row r="316" customFormat="false" ht="15" hidden="false" customHeight="false" outlineLevel="0" collapsed="false">
      <c r="A316" s="22"/>
      <c r="G316" s="23"/>
      <c r="H316" s="23"/>
    </row>
    <row r="317" customFormat="false" ht="15" hidden="false" customHeight="false" outlineLevel="0" collapsed="false">
      <c r="A317" s="22"/>
      <c r="G317" s="23"/>
      <c r="H317" s="23"/>
    </row>
    <row r="318" customFormat="false" ht="15" hidden="false" customHeight="false" outlineLevel="0" collapsed="false">
      <c r="A318" s="22"/>
      <c r="G318" s="23"/>
      <c r="H318" s="23"/>
    </row>
    <row r="319" customFormat="false" ht="15" hidden="false" customHeight="false" outlineLevel="0" collapsed="false">
      <c r="A319" s="22"/>
      <c r="G319" s="23"/>
      <c r="H319" s="23"/>
    </row>
    <row r="320" customFormat="false" ht="15" hidden="false" customHeight="false" outlineLevel="0" collapsed="false">
      <c r="A320" s="22"/>
      <c r="G320" s="23"/>
      <c r="H320" s="23"/>
    </row>
    <row r="321" customFormat="false" ht="15" hidden="false" customHeight="false" outlineLevel="0" collapsed="false">
      <c r="A321" s="22"/>
      <c r="G321" s="23"/>
      <c r="H321" s="23"/>
    </row>
    <row r="322" customFormat="false" ht="15" hidden="false" customHeight="false" outlineLevel="0" collapsed="false">
      <c r="A322" s="22"/>
      <c r="G322" s="23"/>
      <c r="H322" s="23"/>
    </row>
    <row r="323" customFormat="false" ht="15" hidden="false" customHeight="false" outlineLevel="0" collapsed="false">
      <c r="A323" s="22"/>
      <c r="G323" s="23"/>
      <c r="H323" s="23"/>
    </row>
    <row r="324" customFormat="false" ht="15" hidden="false" customHeight="false" outlineLevel="0" collapsed="false">
      <c r="A324" s="22"/>
      <c r="G324" s="23"/>
      <c r="H324" s="23"/>
    </row>
    <row r="325" customFormat="false" ht="15" hidden="false" customHeight="false" outlineLevel="0" collapsed="false">
      <c r="A325" s="22"/>
      <c r="G325" s="23"/>
      <c r="H325" s="23"/>
    </row>
    <row r="326" customFormat="false" ht="15" hidden="false" customHeight="false" outlineLevel="0" collapsed="false">
      <c r="A326" s="22"/>
      <c r="G326" s="23"/>
      <c r="H326" s="23"/>
    </row>
    <row r="327" customFormat="false" ht="15" hidden="false" customHeight="false" outlineLevel="0" collapsed="false">
      <c r="A327" s="22"/>
      <c r="G327" s="23"/>
      <c r="H327" s="23"/>
    </row>
    <row r="328" customFormat="false" ht="15" hidden="false" customHeight="false" outlineLevel="0" collapsed="false">
      <c r="A328" s="22"/>
      <c r="G328" s="23"/>
      <c r="H328" s="23"/>
    </row>
    <row r="329" customFormat="false" ht="15" hidden="false" customHeight="false" outlineLevel="0" collapsed="false">
      <c r="A329" s="22"/>
      <c r="G329" s="23"/>
      <c r="H329" s="23"/>
    </row>
    <row r="330" customFormat="false" ht="15" hidden="false" customHeight="false" outlineLevel="0" collapsed="false">
      <c r="A330" s="22"/>
      <c r="G330" s="23"/>
      <c r="H330" s="23"/>
    </row>
    <row r="331" customFormat="false" ht="15" hidden="false" customHeight="false" outlineLevel="0" collapsed="false">
      <c r="A331" s="22"/>
      <c r="G331" s="23"/>
      <c r="H331" s="23"/>
    </row>
    <row r="332" customFormat="false" ht="15" hidden="false" customHeight="false" outlineLevel="0" collapsed="false">
      <c r="A332" s="22"/>
      <c r="G332" s="23"/>
      <c r="H332" s="23"/>
    </row>
    <row r="333" customFormat="false" ht="15" hidden="false" customHeight="false" outlineLevel="0" collapsed="false">
      <c r="A333" s="22"/>
      <c r="G333" s="23"/>
      <c r="H333" s="23"/>
    </row>
    <row r="334" customFormat="false" ht="15" hidden="false" customHeight="false" outlineLevel="0" collapsed="false">
      <c r="A334" s="22"/>
      <c r="G334" s="23"/>
      <c r="H334" s="23"/>
    </row>
    <row r="335" customFormat="false" ht="15" hidden="false" customHeight="false" outlineLevel="0" collapsed="false">
      <c r="A335" s="22"/>
      <c r="G335" s="23"/>
      <c r="H335" s="23"/>
    </row>
    <row r="336" customFormat="false" ht="15" hidden="false" customHeight="false" outlineLevel="0" collapsed="false">
      <c r="A336" s="22"/>
      <c r="G336" s="23"/>
      <c r="H336" s="23"/>
    </row>
    <row r="337" customFormat="false" ht="15" hidden="false" customHeight="false" outlineLevel="0" collapsed="false">
      <c r="A337" s="22"/>
      <c r="G337" s="23"/>
      <c r="H337" s="23"/>
    </row>
    <row r="338" customFormat="false" ht="15" hidden="false" customHeight="false" outlineLevel="0" collapsed="false">
      <c r="A338" s="22"/>
      <c r="G338" s="23"/>
      <c r="H338" s="23"/>
    </row>
    <row r="339" customFormat="false" ht="15" hidden="false" customHeight="false" outlineLevel="0" collapsed="false">
      <c r="A339" s="22"/>
      <c r="G339" s="23"/>
      <c r="H339" s="23"/>
    </row>
    <row r="340" customFormat="false" ht="15" hidden="false" customHeight="false" outlineLevel="0" collapsed="false">
      <c r="A340" s="22"/>
      <c r="G340" s="23"/>
      <c r="H340" s="23"/>
    </row>
    <row r="341" customFormat="false" ht="15" hidden="false" customHeight="false" outlineLevel="0" collapsed="false">
      <c r="A341" s="22"/>
      <c r="G341" s="23"/>
      <c r="H341" s="23"/>
    </row>
    <row r="342" customFormat="false" ht="15" hidden="false" customHeight="false" outlineLevel="0" collapsed="false">
      <c r="A342" s="22"/>
      <c r="G342" s="23"/>
      <c r="H342" s="23"/>
    </row>
    <row r="343" customFormat="false" ht="15" hidden="false" customHeight="false" outlineLevel="0" collapsed="false">
      <c r="A343" s="22"/>
      <c r="G343" s="23"/>
      <c r="H343" s="23"/>
    </row>
    <row r="344" customFormat="false" ht="15" hidden="false" customHeight="false" outlineLevel="0" collapsed="false">
      <c r="A344" s="22"/>
      <c r="G344" s="23"/>
      <c r="H344" s="23"/>
    </row>
    <row r="345" customFormat="false" ht="15" hidden="false" customHeight="false" outlineLevel="0" collapsed="false">
      <c r="A345" s="22"/>
      <c r="G345" s="23"/>
      <c r="H345" s="23"/>
    </row>
    <row r="346" customFormat="false" ht="15" hidden="false" customHeight="false" outlineLevel="0" collapsed="false">
      <c r="A346" s="22"/>
      <c r="G346" s="23"/>
      <c r="H346" s="23"/>
    </row>
    <row r="347" customFormat="false" ht="15" hidden="false" customHeight="false" outlineLevel="0" collapsed="false">
      <c r="A347" s="22"/>
      <c r="G347" s="23"/>
      <c r="H347" s="23"/>
    </row>
    <row r="348" customFormat="false" ht="15" hidden="false" customHeight="false" outlineLevel="0" collapsed="false">
      <c r="A348" s="22"/>
      <c r="G348" s="23"/>
      <c r="H348" s="23"/>
    </row>
    <row r="349" customFormat="false" ht="15" hidden="false" customHeight="false" outlineLevel="0" collapsed="false">
      <c r="A349" s="22"/>
      <c r="G349" s="23"/>
      <c r="H349" s="23"/>
    </row>
    <row r="350" customFormat="false" ht="15" hidden="false" customHeight="false" outlineLevel="0" collapsed="false">
      <c r="A350" s="22"/>
      <c r="G350" s="23"/>
      <c r="H350" s="23"/>
    </row>
    <row r="351" customFormat="false" ht="15" hidden="false" customHeight="false" outlineLevel="0" collapsed="false">
      <c r="A351" s="22"/>
      <c r="G351" s="23"/>
      <c r="H351" s="23"/>
    </row>
    <row r="352" customFormat="false" ht="15" hidden="false" customHeight="false" outlineLevel="0" collapsed="false">
      <c r="A352" s="22"/>
      <c r="G352" s="23"/>
      <c r="H352" s="23"/>
    </row>
    <row r="353" customFormat="false" ht="15" hidden="false" customHeight="false" outlineLevel="0" collapsed="false">
      <c r="A353" s="22"/>
      <c r="G353" s="23"/>
      <c r="H353" s="23"/>
    </row>
    <row r="354" customFormat="false" ht="15" hidden="false" customHeight="false" outlineLevel="0" collapsed="false">
      <c r="A354" s="22"/>
      <c r="G354" s="23"/>
      <c r="H354" s="23"/>
    </row>
    <row r="355" customFormat="false" ht="15" hidden="false" customHeight="false" outlineLevel="0" collapsed="false">
      <c r="A355" s="22"/>
      <c r="G355" s="23"/>
      <c r="H355" s="23"/>
    </row>
    <row r="356" customFormat="false" ht="15" hidden="false" customHeight="false" outlineLevel="0" collapsed="false">
      <c r="A356" s="22"/>
      <c r="G356" s="23"/>
      <c r="H356" s="23"/>
    </row>
    <row r="357" customFormat="false" ht="15" hidden="false" customHeight="false" outlineLevel="0" collapsed="false">
      <c r="A357" s="22"/>
      <c r="G357" s="23"/>
      <c r="H357" s="23"/>
    </row>
    <row r="358" customFormat="false" ht="15" hidden="false" customHeight="false" outlineLevel="0" collapsed="false">
      <c r="A358" s="22"/>
      <c r="G358" s="23"/>
      <c r="H358" s="23"/>
    </row>
    <row r="359" customFormat="false" ht="15" hidden="false" customHeight="false" outlineLevel="0" collapsed="false">
      <c r="A359" s="22"/>
      <c r="G359" s="23"/>
      <c r="H359" s="23"/>
    </row>
    <row r="360" customFormat="false" ht="15" hidden="false" customHeight="false" outlineLevel="0" collapsed="false">
      <c r="A360" s="22"/>
      <c r="G360" s="23"/>
      <c r="H360" s="23"/>
    </row>
    <row r="361" customFormat="false" ht="15" hidden="false" customHeight="false" outlineLevel="0" collapsed="false">
      <c r="A361" s="22"/>
      <c r="G361" s="23"/>
      <c r="H361" s="23"/>
    </row>
    <row r="362" customFormat="false" ht="15" hidden="false" customHeight="false" outlineLevel="0" collapsed="false">
      <c r="A362" s="22"/>
      <c r="G362" s="23"/>
      <c r="H362" s="23"/>
    </row>
    <row r="363" customFormat="false" ht="15" hidden="false" customHeight="false" outlineLevel="0" collapsed="false">
      <c r="A363" s="22"/>
      <c r="G363" s="23"/>
      <c r="H363" s="23"/>
    </row>
    <row r="364" customFormat="false" ht="15" hidden="false" customHeight="false" outlineLevel="0" collapsed="false">
      <c r="A364" s="22"/>
      <c r="G364" s="23"/>
      <c r="H364" s="23"/>
    </row>
    <row r="365" customFormat="false" ht="15" hidden="false" customHeight="false" outlineLevel="0" collapsed="false">
      <c r="A365" s="22"/>
      <c r="G365" s="23"/>
      <c r="H365" s="23"/>
    </row>
    <row r="366" customFormat="false" ht="15" hidden="false" customHeight="false" outlineLevel="0" collapsed="false">
      <c r="A366" s="22"/>
      <c r="G366" s="23"/>
      <c r="H366" s="23"/>
    </row>
    <row r="367" customFormat="false" ht="15" hidden="false" customHeight="false" outlineLevel="0" collapsed="false">
      <c r="A367" s="22"/>
      <c r="G367" s="23"/>
      <c r="H367" s="23"/>
    </row>
    <row r="368" customFormat="false" ht="15" hidden="false" customHeight="false" outlineLevel="0" collapsed="false">
      <c r="A368" s="22"/>
      <c r="G368" s="23"/>
      <c r="H368" s="23"/>
    </row>
    <row r="369" customFormat="false" ht="15" hidden="false" customHeight="false" outlineLevel="0" collapsed="false">
      <c r="A369" s="22"/>
      <c r="G369" s="23"/>
      <c r="H369" s="23"/>
    </row>
    <row r="370" customFormat="false" ht="15" hidden="false" customHeight="false" outlineLevel="0" collapsed="false">
      <c r="A370" s="22"/>
      <c r="G370" s="23"/>
      <c r="H370" s="23"/>
    </row>
    <row r="371" customFormat="false" ht="15" hidden="false" customHeight="false" outlineLevel="0" collapsed="false">
      <c r="A371" s="22"/>
      <c r="G371" s="23"/>
      <c r="H371" s="23"/>
    </row>
    <row r="372" customFormat="false" ht="15" hidden="false" customHeight="false" outlineLevel="0" collapsed="false">
      <c r="A372" s="22"/>
      <c r="G372" s="23"/>
      <c r="H372" s="23"/>
    </row>
    <row r="373" customFormat="false" ht="15" hidden="false" customHeight="false" outlineLevel="0" collapsed="false">
      <c r="A373" s="22"/>
      <c r="G373" s="23"/>
      <c r="H373" s="23"/>
    </row>
    <row r="374" customFormat="false" ht="15" hidden="false" customHeight="false" outlineLevel="0" collapsed="false">
      <c r="A374" s="22"/>
      <c r="G374" s="23"/>
      <c r="H374" s="23"/>
    </row>
    <row r="375" customFormat="false" ht="15" hidden="false" customHeight="false" outlineLevel="0" collapsed="false">
      <c r="A375" s="22"/>
      <c r="G375" s="23"/>
      <c r="H375" s="23"/>
    </row>
    <row r="376" customFormat="false" ht="15" hidden="false" customHeight="false" outlineLevel="0" collapsed="false">
      <c r="A376" s="22"/>
      <c r="G376" s="23"/>
      <c r="H376" s="23"/>
    </row>
    <row r="377" customFormat="false" ht="15" hidden="false" customHeight="false" outlineLevel="0" collapsed="false">
      <c r="A377" s="22"/>
      <c r="G377" s="23"/>
      <c r="H377" s="23"/>
    </row>
    <row r="378" customFormat="false" ht="15" hidden="false" customHeight="false" outlineLevel="0" collapsed="false">
      <c r="A378" s="22"/>
      <c r="G378" s="23"/>
      <c r="H378" s="23"/>
    </row>
    <row r="379" customFormat="false" ht="15" hidden="false" customHeight="false" outlineLevel="0" collapsed="false">
      <c r="A379" s="22"/>
      <c r="G379" s="23"/>
      <c r="H379" s="23"/>
    </row>
    <row r="380" customFormat="false" ht="15" hidden="false" customHeight="false" outlineLevel="0" collapsed="false">
      <c r="A380" s="22"/>
      <c r="G380" s="23"/>
      <c r="H380" s="23"/>
    </row>
    <row r="381" customFormat="false" ht="15" hidden="false" customHeight="false" outlineLevel="0" collapsed="false">
      <c r="A381" s="22"/>
      <c r="G381" s="23"/>
      <c r="H381" s="23"/>
    </row>
    <row r="382" customFormat="false" ht="15" hidden="false" customHeight="false" outlineLevel="0" collapsed="false">
      <c r="A382" s="22"/>
      <c r="G382" s="23"/>
      <c r="H382" s="23"/>
    </row>
    <row r="383" customFormat="false" ht="15" hidden="false" customHeight="false" outlineLevel="0" collapsed="false">
      <c r="A383" s="22"/>
      <c r="G383" s="23"/>
      <c r="H383" s="23"/>
    </row>
    <row r="384" customFormat="false" ht="15" hidden="false" customHeight="false" outlineLevel="0" collapsed="false">
      <c r="A384" s="22"/>
      <c r="G384" s="23"/>
      <c r="H384" s="23"/>
    </row>
    <row r="385" customFormat="false" ht="15" hidden="false" customHeight="false" outlineLevel="0" collapsed="false">
      <c r="A385" s="22"/>
      <c r="G385" s="23"/>
      <c r="H385" s="23"/>
    </row>
    <row r="386" customFormat="false" ht="15" hidden="false" customHeight="false" outlineLevel="0" collapsed="false">
      <c r="A386" s="22"/>
      <c r="G386" s="23"/>
      <c r="H386" s="23"/>
    </row>
    <row r="387" customFormat="false" ht="15" hidden="false" customHeight="false" outlineLevel="0" collapsed="false">
      <c r="A387" s="22"/>
      <c r="G387" s="23"/>
      <c r="H387" s="23"/>
    </row>
    <row r="388" customFormat="false" ht="15" hidden="false" customHeight="false" outlineLevel="0" collapsed="false">
      <c r="A388" s="22"/>
      <c r="G388" s="23"/>
      <c r="H388" s="23"/>
    </row>
    <row r="389" customFormat="false" ht="15" hidden="false" customHeight="false" outlineLevel="0" collapsed="false">
      <c r="A389" s="22"/>
      <c r="G389" s="23"/>
      <c r="H389" s="23"/>
    </row>
    <row r="390" customFormat="false" ht="15" hidden="false" customHeight="false" outlineLevel="0" collapsed="false">
      <c r="A390" s="22"/>
      <c r="G390" s="23"/>
      <c r="H390" s="23"/>
    </row>
    <row r="391" customFormat="false" ht="15" hidden="false" customHeight="false" outlineLevel="0" collapsed="false">
      <c r="A391" s="22"/>
      <c r="G391" s="23"/>
      <c r="H391" s="23"/>
    </row>
    <row r="392" customFormat="false" ht="15" hidden="false" customHeight="false" outlineLevel="0" collapsed="false">
      <c r="A392" s="22"/>
      <c r="G392" s="23"/>
      <c r="H392" s="23"/>
    </row>
    <row r="393" customFormat="false" ht="15" hidden="false" customHeight="false" outlineLevel="0" collapsed="false">
      <c r="A393" s="22"/>
      <c r="G393" s="23"/>
      <c r="H393" s="23"/>
    </row>
    <row r="394" customFormat="false" ht="15" hidden="false" customHeight="false" outlineLevel="0" collapsed="false">
      <c r="A394" s="22"/>
      <c r="G394" s="23"/>
      <c r="H394" s="23"/>
    </row>
    <row r="395" customFormat="false" ht="15" hidden="false" customHeight="false" outlineLevel="0" collapsed="false">
      <c r="A395" s="22"/>
      <c r="G395" s="23"/>
      <c r="H395" s="23"/>
    </row>
    <row r="396" customFormat="false" ht="15" hidden="false" customHeight="false" outlineLevel="0" collapsed="false">
      <c r="A396" s="22"/>
      <c r="G396" s="23"/>
      <c r="H396" s="23"/>
    </row>
    <row r="397" customFormat="false" ht="15" hidden="false" customHeight="false" outlineLevel="0" collapsed="false">
      <c r="A397" s="22"/>
      <c r="G397" s="23"/>
      <c r="H397" s="23"/>
    </row>
    <row r="398" customFormat="false" ht="15" hidden="false" customHeight="false" outlineLevel="0" collapsed="false">
      <c r="A398" s="22"/>
      <c r="G398" s="23"/>
      <c r="H398" s="23"/>
    </row>
    <row r="399" customFormat="false" ht="15" hidden="false" customHeight="false" outlineLevel="0" collapsed="false">
      <c r="A399" s="22"/>
      <c r="G399" s="23"/>
      <c r="H399" s="23"/>
    </row>
    <row r="400" customFormat="false" ht="15" hidden="false" customHeight="false" outlineLevel="0" collapsed="false">
      <c r="A400" s="22"/>
      <c r="G400" s="23"/>
      <c r="H400" s="23"/>
    </row>
    <row r="401" customFormat="false" ht="15" hidden="false" customHeight="false" outlineLevel="0" collapsed="false">
      <c r="A401" s="22"/>
      <c r="G401" s="23"/>
      <c r="H401" s="23"/>
    </row>
    <row r="402" customFormat="false" ht="15" hidden="false" customHeight="false" outlineLevel="0" collapsed="false">
      <c r="A402" s="22"/>
      <c r="G402" s="23"/>
      <c r="H402" s="23"/>
    </row>
    <row r="403" customFormat="false" ht="15" hidden="false" customHeight="false" outlineLevel="0" collapsed="false">
      <c r="A403" s="22"/>
      <c r="G403" s="23"/>
      <c r="H403" s="23"/>
    </row>
    <row r="404" customFormat="false" ht="15" hidden="false" customHeight="false" outlineLevel="0" collapsed="false">
      <c r="A404" s="22"/>
      <c r="G404" s="23"/>
      <c r="H404" s="23"/>
    </row>
    <row r="405" customFormat="false" ht="15" hidden="false" customHeight="false" outlineLevel="0" collapsed="false">
      <c r="A405" s="22"/>
      <c r="G405" s="23"/>
      <c r="H405" s="23"/>
    </row>
    <row r="406" customFormat="false" ht="15" hidden="false" customHeight="false" outlineLevel="0" collapsed="false">
      <c r="A406" s="22"/>
      <c r="G406" s="23"/>
      <c r="H406" s="23"/>
    </row>
    <row r="407" customFormat="false" ht="15" hidden="false" customHeight="false" outlineLevel="0" collapsed="false">
      <c r="A407" s="22"/>
      <c r="G407" s="23"/>
      <c r="H407" s="23"/>
    </row>
    <row r="408" customFormat="false" ht="15" hidden="false" customHeight="false" outlineLevel="0" collapsed="false">
      <c r="A408" s="22"/>
      <c r="G408" s="23"/>
      <c r="H408" s="23"/>
    </row>
    <row r="409" customFormat="false" ht="15" hidden="false" customHeight="false" outlineLevel="0" collapsed="false">
      <c r="A409" s="22"/>
      <c r="G409" s="23"/>
      <c r="H409" s="23"/>
    </row>
    <row r="410" customFormat="false" ht="15" hidden="false" customHeight="false" outlineLevel="0" collapsed="false">
      <c r="A410" s="22"/>
      <c r="G410" s="23"/>
      <c r="H410" s="23"/>
    </row>
    <row r="411" customFormat="false" ht="15" hidden="false" customHeight="false" outlineLevel="0" collapsed="false">
      <c r="A411" s="22"/>
      <c r="G411" s="23"/>
      <c r="H411" s="23"/>
    </row>
    <row r="412" customFormat="false" ht="15" hidden="false" customHeight="false" outlineLevel="0" collapsed="false">
      <c r="A412" s="22"/>
      <c r="G412" s="23"/>
      <c r="H412" s="23"/>
    </row>
    <row r="413" customFormat="false" ht="15" hidden="false" customHeight="false" outlineLevel="0" collapsed="false">
      <c r="A413" s="22"/>
      <c r="G413" s="23"/>
      <c r="H413" s="23"/>
    </row>
    <row r="414" customFormat="false" ht="15" hidden="false" customHeight="false" outlineLevel="0" collapsed="false">
      <c r="A414" s="22"/>
      <c r="G414" s="23"/>
      <c r="H414" s="23"/>
    </row>
    <row r="415" customFormat="false" ht="15" hidden="false" customHeight="false" outlineLevel="0" collapsed="false">
      <c r="A415" s="22"/>
      <c r="G415" s="23"/>
      <c r="H415" s="23"/>
    </row>
    <row r="416" customFormat="false" ht="15" hidden="false" customHeight="false" outlineLevel="0" collapsed="false">
      <c r="A416" s="22"/>
      <c r="G416" s="23"/>
      <c r="H416" s="23"/>
    </row>
    <row r="417" customFormat="false" ht="15" hidden="false" customHeight="false" outlineLevel="0" collapsed="false">
      <c r="A417" s="22"/>
      <c r="G417" s="23"/>
      <c r="H417" s="23"/>
    </row>
    <row r="418" customFormat="false" ht="15" hidden="false" customHeight="false" outlineLevel="0" collapsed="false">
      <c r="A418" s="22"/>
      <c r="G418" s="23"/>
      <c r="H418" s="23"/>
    </row>
    <row r="419" customFormat="false" ht="15" hidden="false" customHeight="false" outlineLevel="0" collapsed="false">
      <c r="A419" s="22"/>
      <c r="G419" s="23"/>
      <c r="H419" s="23"/>
    </row>
    <row r="420" customFormat="false" ht="15" hidden="false" customHeight="false" outlineLevel="0" collapsed="false">
      <c r="A420" s="22"/>
      <c r="G420" s="23"/>
      <c r="H420" s="23"/>
    </row>
    <row r="421" customFormat="false" ht="15" hidden="false" customHeight="false" outlineLevel="0" collapsed="false">
      <c r="A421" s="22"/>
      <c r="G421" s="23"/>
      <c r="H421" s="23"/>
    </row>
    <row r="422" customFormat="false" ht="15" hidden="false" customHeight="false" outlineLevel="0" collapsed="false">
      <c r="A422" s="22"/>
      <c r="G422" s="23"/>
      <c r="H422" s="23"/>
    </row>
    <row r="423" customFormat="false" ht="15" hidden="false" customHeight="false" outlineLevel="0" collapsed="false">
      <c r="A423" s="22"/>
      <c r="G423" s="23"/>
      <c r="H423" s="23"/>
    </row>
    <row r="424" customFormat="false" ht="15" hidden="false" customHeight="false" outlineLevel="0" collapsed="false">
      <c r="A424" s="22"/>
      <c r="G424" s="23"/>
      <c r="H424" s="23"/>
    </row>
    <row r="425" customFormat="false" ht="15" hidden="false" customHeight="false" outlineLevel="0" collapsed="false">
      <c r="A425" s="22"/>
      <c r="G425" s="23"/>
      <c r="H425" s="23"/>
    </row>
    <row r="426" customFormat="false" ht="15" hidden="false" customHeight="false" outlineLevel="0" collapsed="false">
      <c r="A426" s="22"/>
      <c r="G426" s="23"/>
      <c r="H426" s="23"/>
    </row>
    <row r="427" customFormat="false" ht="15" hidden="false" customHeight="false" outlineLevel="0" collapsed="false">
      <c r="A427" s="22"/>
      <c r="G427" s="23"/>
      <c r="H427" s="23"/>
    </row>
    <row r="428" customFormat="false" ht="15" hidden="false" customHeight="false" outlineLevel="0" collapsed="false">
      <c r="A428" s="22"/>
      <c r="G428" s="23"/>
      <c r="H428" s="23"/>
    </row>
    <row r="429" customFormat="false" ht="15" hidden="false" customHeight="false" outlineLevel="0" collapsed="false">
      <c r="A429" s="22"/>
      <c r="G429" s="23"/>
      <c r="H429" s="23"/>
    </row>
    <row r="430" customFormat="false" ht="15" hidden="false" customHeight="false" outlineLevel="0" collapsed="false">
      <c r="A430" s="22"/>
      <c r="G430" s="23"/>
      <c r="H430" s="23"/>
    </row>
    <row r="431" customFormat="false" ht="15" hidden="false" customHeight="false" outlineLevel="0" collapsed="false">
      <c r="A431" s="22"/>
      <c r="G431" s="23"/>
      <c r="H431" s="23"/>
    </row>
    <row r="432" customFormat="false" ht="15" hidden="false" customHeight="false" outlineLevel="0" collapsed="false">
      <c r="A432" s="22"/>
      <c r="G432" s="23"/>
      <c r="H432" s="23"/>
    </row>
    <row r="433" customFormat="false" ht="15" hidden="false" customHeight="false" outlineLevel="0" collapsed="false">
      <c r="A433" s="22"/>
      <c r="G433" s="23"/>
      <c r="H433" s="23"/>
    </row>
    <row r="434" customFormat="false" ht="15" hidden="false" customHeight="false" outlineLevel="0" collapsed="false">
      <c r="A434" s="22"/>
      <c r="G434" s="23"/>
      <c r="H434" s="23"/>
    </row>
    <row r="435" customFormat="false" ht="15" hidden="false" customHeight="false" outlineLevel="0" collapsed="false">
      <c r="A435" s="22"/>
      <c r="G435" s="23"/>
      <c r="H435" s="23"/>
    </row>
    <row r="436" customFormat="false" ht="15" hidden="false" customHeight="false" outlineLevel="0" collapsed="false">
      <c r="A436" s="22"/>
      <c r="G436" s="23"/>
      <c r="H436" s="23"/>
    </row>
    <row r="437" customFormat="false" ht="15" hidden="false" customHeight="false" outlineLevel="0" collapsed="false">
      <c r="A437" s="22"/>
      <c r="G437" s="23"/>
      <c r="H437" s="23"/>
    </row>
    <row r="438" customFormat="false" ht="15" hidden="false" customHeight="false" outlineLevel="0" collapsed="false">
      <c r="A438" s="22"/>
      <c r="G438" s="23"/>
      <c r="H438" s="23"/>
    </row>
    <row r="439" customFormat="false" ht="15" hidden="false" customHeight="false" outlineLevel="0" collapsed="false">
      <c r="A439" s="22"/>
      <c r="G439" s="23"/>
      <c r="H439" s="23"/>
    </row>
    <row r="440" customFormat="false" ht="15" hidden="false" customHeight="false" outlineLevel="0" collapsed="false">
      <c r="A440" s="22"/>
      <c r="G440" s="23"/>
      <c r="H440" s="23"/>
    </row>
    <row r="441" customFormat="false" ht="15" hidden="false" customHeight="false" outlineLevel="0" collapsed="false">
      <c r="A441" s="22"/>
      <c r="G441" s="23"/>
      <c r="H441" s="23"/>
    </row>
    <row r="442" customFormat="false" ht="15" hidden="false" customHeight="false" outlineLevel="0" collapsed="false">
      <c r="A442" s="22"/>
      <c r="G442" s="23"/>
      <c r="H442" s="23"/>
    </row>
    <row r="443" customFormat="false" ht="15" hidden="false" customHeight="false" outlineLevel="0" collapsed="false">
      <c r="A443" s="22"/>
      <c r="G443" s="23"/>
      <c r="H443" s="23"/>
    </row>
    <row r="444" customFormat="false" ht="15" hidden="false" customHeight="false" outlineLevel="0" collapsed="false">
      <c r="A444" s="22"/>
      <c r="G444" s="23"/>
      <c r="H444" s="23"/>
    </row>
    <row r="445" customFormat="false" ht="15" hidden="false" customHeight="false" outlineLevel="0" collapsed="false">
      <c r="A445" s="22"/>
      <c r="G445" s="23"/>
      <c r="H445" s="23"/>
    </row>
    <row r="446" customFormat="false" ht="15" hidden="false" customHeight="false" outlineLevel="0" collapsed="false">
      <c r="A446" s="22"/>
      <c r="G446" s="23"/>
      <c r="H446" s="23"/>
    </row>
    <row r="447" customFormat="false" ht="15" hidden="false" customHeight="false" outlineLevel="0" collapsed="false">
      <c r="A447" s="22"/>
      <c r="G447" s="23"/>
      <c r="H447" s="23"/>
    </row>
    <row r="448" customFormat="false" ht="15" hidden="false" customHeight="false" outlineLevel="0" collapsed="false">
      <c r="A448" s="22"/>
      <c r="G448" s="23"/>
      <c r="H448" s="23"/>
    </row>
    <row r="449" customFormat="false" ht="15" hidden="false" customHeight="false" outlineLevel="0" collapsed="false">
      <c r="A449" s="22"/>
      <c r="G449" s="23"/>
      <c r="H449" s="23"/>
    </row>
    <row r="450" customFormat="false" ht="15" hidden="false" customHeight="false" outlineLevel="0" collapsed="false">
      <c r="A450" s="22"/>
      <c r="G450" s="23"/>
      <c r="H450" s="23"/>
    </row>
    <row r="451" customFormat="false" ht="15" hidden="false" customHeight="false" outlineLevel="0" collapsed="false">
      <c r="A451" s="22"/>
      <c r="G451" s="23"/>
      <c r="H451" s="23"/>
    </row>
    <row r="452" customFormat="false" ht="15" hidden="false" customHeight="false" outlineLevel="0" collapsed="false">
      <c r="A452" s="22"/>
      <c r="G452" s="23"/>
      <c r="H452" s="23"/>
    </row>
    <row r="453" customFormat="false" ht="15" hidden="false" customHeight="false" outlineLevel="0" collapsed="false">
      <c r="A453" s="22"/>
      <c r="G453" s="23"/>
      <c r="H453" s="23"/>
    </row>
    <row r="454" customFormat="false" ht="15" hidden="false" customHeight="false" outlineLevel="0" collapsed="false">
      <c r="A454" s="22"/>
      <c r="G454" s="23"/>
      <c r="H454" s="23"/>
    </row>
    <row r="455" customFormat="false" ht="15" hidden="false" customHeight="false" outlineLevel="0" collapsed="false">
      <c r="A455" s="22"/>
      <c r="G455" s="23"/>
      <c r="H455" s="23"/>
    </row>
    <row r="456" customFormat="false" ht="15" hidden="false" customHeight="false" outlineLevel="0" collapsed="false">
      <c r="A456" s="22"/>
      <c r="G456" s="23"/>
      <c r="H456" s="23"/>
    </row>
    <row r="457" customFormat="false" ht="15" hidden="false" customHeight="false" outlineLevel="0" collapsed="false">
      <c r="A457" s="22"/>
      <c r="G457" s="23"/>
      <c r="H457" s="23"/>
    </row>
    <row r="458" customFormat="false" ht="15" hidden="false" customHeight="false" outlineLevel="0" collapsed="false">
      <c r="A458" s="22"/>
      <c r="G458" s="23"/>
      <c r="H458" s="23"/>
    </row>
    <row r="459" customFormat="false" ht="15" hidden="false" customHeight="false" outlineLevel="0" collapsed="false">
      <c r="A459" s="22"/>
      <c r="G459" s="23"/>
      <c r="H459" s="23"/>
    </row>
    <row r="460" customFormat="false" ht="15" hidden="false" customHeight="false" outlineLevel="0" collapsed="false">
      <c r="A460" s="22"/>
      <c r="G460" s="23"/>
      <c r="H460" s="23"/>
    </row>
    <row r="461" customFormat="false" ht="15" hidden="false" customHeight="false" outlineLevel="0" collapsed="false">
      <c r="A461" s="22"/>
      <c r="G461" s="23"/>
      <c r="H461" s="23"/>
    </row>
    <row r="462" customFormat="false" ht="15" hidden="false" customHeight="false" outlineLevel="0" collapsed="false">
      <c r="A462" s="22"/>
      <c r="G462" s="23"/>
      <c r="H462" s="23"/>
    </row>
    <row r="463" customFormat="false" ht="15" hidden="false" customHeight="false" outlineLevel="0" collapsed="false">
      <c r="A463" s="22"/>
      <c r="G463" s="23"/>
      <c r="H463" s="23"/>
    </row>
    <row r="464" customFormat="false" ht="15" hidden="false" customHeight="false" outlineLevel="0" collapsed="false">
      <c r="A464" s="22"/>
      <c r="G464" s="23"/>
      <c r="H464" s="23"/>
    </row>
    <row r="465" customFormat="false" ht="15" hidden="false" customHeight="false" outlineLevel="0" collapsed="false">
      <c r="A465" s="22"/>
      <c r="G465" s="23"/>
      <c r="H465" s="23"/>
    </row>
    <row r="466" customFormat="false" ht="15" hidden="false" customHeight="false" outlineLevel="0" collapsed="false">
      <c r="A466" s="22"/>
      <c r="G466" s="23"/>
      <c r="H466" s="23"/>
    </row>
    <row r="467" customFormat="false" ht="15" hidden="false" customHeight="false" outlineLevel="0" collapsed="false">
      <c r="A467" s="22"/>
      <c r="G467" s="23"/>
      <c r="H467" s="23"/>
    </row>
    <row r="468" customFormat="false" ht="15" hidden="false" customHeight="false" outlineLevel="0" collapsed="false">
      <c r="A468" s="22"/>
      <c r="G468" s="23"/>
      <c r="H468" s="23"/>
    </row>
    <row r="469" customFormat="false" ht="15" hidden="false" customHeight="false" outlineLevel="0" collapsed="false">
      <c r="A469" s="22"/>
      <c r="G469" s="23"/>
      <c r="H469" s="23"/>
    </row>
    <row r="470" customFormat="false" ht="15" hidden="false" customHeight="false" outlineLevel="0" collapsed="false">
      <c r="A470" s="22"/>
      <c r="G470" s="23"/>
      <c r="H470" s="23"/>
    </row>
    <row r="471" customFormat="false" ht="15" hidden="false" customHeight="false" outlineLevel="0" collapsed="false">
      <c r="A471" s="22"/>
      <c r="G471" s="23"/>
      <c r="H471" s="23"/>
    </row>
    <row r="472" customFormat="false" ht="15" hidden="false" customHeight="false" outlineLevel="0" collapsed="false">
      <c r="A472" s="22"/>
      <c r="G472" s="23"/>
      <c r="H472" s="23"/>
    </row>
    <row r="473" customFormat="false" ht="15" hidden="false" customHeight="false" outlineLevel="0" collapsed="false">
      <c r="A473" s="22"/>
      <c r="G473" s="23"/>
      <c r="H473" s="23"/>
    </row>
    <row r="474" customFormat="false" ht="15" hidden="false" customHeight="false" outlineLevel="0" collapsed="false">
      <c r="A474" s="22"/>
      <c r="G474" s="23"/>
      <c r="H474" s="23"/>
    </row>
    <row r="475" customFormat="false" ht="15" hidden="false" customHeight="false" outlineLevel="0" collapsed="false">
      <c r="A475" s="22"/>
      <c r="G475" s="23"/>
      <c r="H475" s="23"/>
    </row>
    <row r="476" customFormat="false" ht="15" hidden="false" customHeight="false" outlineLevel="0" collapsed="false">
      <c r="A476" s="22"/>
      <c r="G476" s="23"/>
      <c r="H476" s="23"/>
    </row>
    <row r="477" customFormat="false" ht="15" hidden="false" customHeight="false" outlineLevel="0" collapsed="false">
      <c r="A477" s="22"/>
      <c r="G477" s="23"/>
      <c r="H477" s="23"/>
    </row>
    <row r="478" customFormat="false" ht="15" hidden="false" customHeight="false" outlineLevel="0" collapsed="false">
      <c r="A478" s="22"/>
      <c r="G478" s="23"/>
      <c r="H478" s="23"/>
    </row>
    <row r="479" customFormat="false" ht="15" hidden="false" customHeight="false" outlineLevel="0" collapsed="false">
      <c r="A479" s="22"/>
      <c r="G479" s="23"/>
      <c r="H479" s="23"/>
    </row>
    <row r="480" customFormat="false" ht="15" hidden="false" customHeight="false" outlineLevel="0" collapsed="false">
      <c r="A480" s="22"/>
      <c r="G480" s="23"/>
      <c r="H480" s="23"/>
    </row>
    <row r="481" customFormat="false" ht="15" hidden="false" customHeight="false" outlineLevel="0" collapsed="false">
      <c r="A481" s="22"/>
      <c r="G481" s="23"/>
      <c r="H481" s="23"/>
    </row>
    <row r="482" customFormat="false" ht="15" hidden="false" customHeight="false" outlineLevel="0" collapsed="false">
      <c r="A482" s="22"/>
      <c r="G482" s="23"/>
      <c r="H482" s="23"/>
    </row>
    <row r="483" customFormat="false" ht="15" hidden="false" customHeight="false" outlineLevel="0" collapsed="false">
      <c r="A483" s="22"/>
      <c r="G483" s="23"/>
      <c r="H483" s="23"/>
    </row>
    <row r="484" customFormat="false" ht="15" hidden="false" customHeight="false" outlineLevel="0" collapsed="false">
      <c r="A484" s="22"/>
      <c r="G484" s="23"/>
      <c r="H484" s="23"/>
    </row>
    <row r="485" customFormat="false" ht="15" hidden="false" customHeight="false" outlineLevel="0" collapsed="false">
      <c r="A485" s="22"/>
      <c r="G485" s="23"/>
      <c r="H485" s="23"/>
    </row>
    <row r="486" customFormat="false" ht="15" hidden="false" customHeight="false" outlineLevel="0" collapsed="false">
      <c r="A486" s="22"/>
      <c r="G486" s="23"/>
      <c r="H486" s="23"/>
    </row>
    <row r="487" customFormat="false" ht="15" hidden="false" customHeight="false" outlineLevel="0" collapsed="false">
      <c r="A487" s="22"/>
      <c r="G487" s="23"/>
      <c r="H487" s="23"/>
    </row>
    <row r="488" customFormat="false" ht="15" hidden="false" customHeight="false" outlineLevel="0" collapsed="false">
      <c r="A488" s="22"/>
      <c r="G488" s="23"/>
      <c r="H488" s="23"/>
    </row>
    <row r="489" customFormat="false" ht="15" hidden="false" customHeight="false" outlineLevel="0" collapsed="false">
      <c r="A489" s="22"/>
      <c r="G489" s="23"/>
      <c r="H489" s="23"/>
    </row>
    <row r="490" customFormat="false" ht="15" hidden="false" customHeight="false" outlineLevel="0" collapsed="false">
      <c r="A490" s="22"/>
      <c r="G490" s="23"/>
      <c r="H490" s="23"/>
    </row>
    <row r="491" customFormat="false" ht="15" hidden="false" customHeight="false" outlineLevel="0" collapsed="false">
      <c r="A491" s="22"/>
      <c r="G491" s="23"/>
      <c r="H491" s="23"/>
    </row>
    <row r="492" customFormat="false" ht="15" hidden="false" customHeight="false" outlineLevel="0" collapsed="false">
      <c r="A492" s="22"/>
      <c r="G492" s="23"/>
      <c r="H492" s="23"/>
    </row>
    <row r="493" customFormat="false" ht="15" hidden="false" customHeight="false" outlineLevel="0" collapsed="false">
      <c r="A493" s="22"/>
      <c r="G493" s="23"/>
      <c r="H493" s="23"/>
    </row>
    <row r="494" customFormat="false" ht="15" hidden="false" customHeight="false" outlineLevel="0" collapsed="false">
      <c r="A494" s="22"/>
      <c r="G494" s="23"/>
      <c r="H494" s="23"/>
    </row>
    <row r="495" customFormat="false" ht="15" hidden="false" customHeight="false" outlineLevel="0" collapsed="false">
      <c r="A495" s="22"/>
      <c r="G495" s="23"/>
      <c r="H495" s="23"/>
    </row>
    <row r="496" customFormat="false" ht="15" hidden="false" customHeight="false" outlineLevel="0" collapsed="false">
      <c r="A496" s="22"/>
      <c r="G496" s="23"/>
      <c r="H496" s="23"/>
    </row>
    <row r="497" customFormat="false" ht="15" hidden="false" customHeight="false" outlineLevel="0" collapsed="false">
      <c r="A497" s="22"/>
      <c r="G497" s="23"/>
      <c r="H497" s="23"/>
    </row>
    <row r="498" customFormat="false" ht="15" hidden="false" customHeight="false" outlineLevel="0" collapsed="false">
      <c r="A498" s="22"/>
      <c r="G498" s="23"/>
      <c r="H498" s="23"/>
    </row>
    <row r="499" customFormat="false" ht="15" hidden="false" customHeight="false" outlineLevel="0" collapsed="false">
      <c r="A499" s="22"/>
      <c r="G499" s="23"/>
      <c r="H499" s="23"/>
    </row>
    <row r="500" customFormat="false" ht="15" hidden="false" customHeight="false" outlineLevel="0" collapsed="false">
      <c r="A500" s="22"/>
      <c r="G500" s="23"/>
      <c r="H500" s="23"/>
    </row>
  </sheetData>
  <dataValidations count="6">
    <dataValidation allowBlank="true" errorStyle="stop" operator="between" showDropDown="false" showErrorMessage="false" showInputMessage="false" sqref="B2:B500" type="list">
      <formula1>Properties!$A$2:$A$32</formula1>
      <formula2>0</formula2>
    </dataValidation>
    <dataValidation allowBlank="true" errorStyle="stop" operator="between" showDropDown="false" showErrorMessage="false" showInputMessage="false" sqref="E2:E500" type="list">
      <formula1>'Vendor Bench'!$A$2:$A$41</formula1>
      <formula2>0</formula2>
    </dataValidation>
    <dataValidation allowBlank="true" errorStyle="stop" operator="between" showDropDown="false" showErrorMessage="false" showInputMessage="false" sqref="F2:F500" type="list">
      <formula1>"Emergency,24 hr,This week,Routine,Turnover"</formula1>
      <formula2>0</formula2>
    </dataValidation>
    <dataValidation allowBlank="true" errorStyle="stop" operator="between" showDropDown="false" showErrorMessage="false" showInputMessage="false" sqref="J2:K500" type="list">
      <formula1>"Yes,No,Unsure"</formula1>
      <formula2>0</formula2>
    </dataValidation>
    <dataValidation allowBlank="true" errorStyle="stop" operator="between" showDropDown="false" showErrorMessage="false" showInputMessage="false" sqref="I2:I500" type="whole">
      <formula1>1</formula1>
      <formula2>5</formula2>
    </dataValidation>
    <dataValidation allowBlank="true" errorStyle="stop" operator="between" showDropDown="false" showErrorMessage="false" showInputMessage="false" sqref="D2:D500" type="list">
      <formula1>"Handyman,Plumber,Electrician,HVAC,Roofer,Appliance,Pest,Lawn / Tree,Cleaner / Turnover,Locksmith,Painter,Drywall / Stucco,Pool,Fence / Gate,GC"</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26"/>
    <col collapsed="false" customWidth="true" hidden="false" outlineLevel="0" max="4" min="4" style="0" width="11"/>
    <col collapsed="false" customWidth="true" hidden="false" outlineLevel="0" max="5" min="5" style="0" width="20"/>
    <col collapsed="false" customWidth="true" hidden="false" outlineLevel="0" max="6" min="6" style="0" width="46"/>
  </cols>
  <sheetData>
    <row r="1" customFormat="false" ht="30" hidden="false" customHeight="true" outlineLevel="0" collapsed="false">
      <c r="A1" s="5" t="s">
        <v>311</v>
      </c>
      <c r="B1" s="5" t="s">
        <v>312</v>
      </c>
      <c r="C1" s="5" t="s">
        <v>313</v>
      </c>
      <c r="D1" s="5" t="s">
        <v>294</v>
      </c>
      <c r="E1" s="5" t="s">
        <v>314</v>
      </c>
      <c r="F1" s="5" t="s">
        <v>315</v>
      </c>
    </row>
    <row r="2" customFormat="false" ht="23.85" hidden="false" customHeight="false" outlineLevel="0" collapsed="false">
      <c r="A2" s="9" t="s">
        <v>316</v>
      </c>
      <c r="B2" s="9" t="s">
        <v>126</v>
      </c>
      <c r="C2" s="9" t="s">
        <v>317</v>
      </c>
      <c r="D2" s="9" t="s">
        <v>318</v>
      </c>
      <c r="E2" s="9" t="s">
        <v>319</v>
      </c>
      <c r="F2" s="9" t="s">
        <v>320</v>
      </c>
    </row>
    <row r="3" customFormat="false" ht="23.85" hidden="false" customHeight="false" outlineLevel="0" collapsed="false">
      <c r="A3" s="9" t="s">
        <v>321</v>
      </c>
      <c r="B3" s="9" t="s">
        <v>60</v>
      </c>
      <c r="C3" s="9" t="s">
        <v>322</v>
      </c>
      <c r="D3" s="9" t="s">
        <v>323</v>
      </c>
      <c r="E3" s="9" t="s">
        <v>324</v>
      </c>
      <c r="F3" s="9" t="s">
        <v>325</v>
      </c>
    </row>
    <row r="4" customFormat="false" ht="23.85" hidden="false" customHeight="false" outlineLevel="0" collapsed="false">
      <c r="A4" s="9" t="s">
        <v>326</v>
      </c>
      <c r="B4" s="9" t="s">
        <v>60</v>
      </c>
      <c r="C4" s="9" t="s">
        <v>327</v>
      </c>
      <c r="D4" s="9" t="s">
        <v>323</v>
      </c>
      <c r="E4" s="9" t="s">
        <v>328</v>
      </c>
      <c r="F4" s="9" t="s">
        <v>329</v>
      </c>
    </row>
    <row r="5" customFormat="false" ht="23.85" hidden="false" customHeight="false" outlineLevel="0" collapsed="false">
      <c r="A5" s="9" t="s">
        <v>330</v>
      </c>
      <c r="B5" s="9" t="s">
        <v>60</v>
      </c>
      <c r="C5" s="9" t="s">
        <v>331</v>
      </c>
      <c r="D5" s="9" t="s">
        <v>303</v>
      </c>
      <c r="E5" s="9" t="s">
        <v>332</v>
      </c>
      <c r="F5" s="9" t="s">
        <v>333</v>
      </c>
    </row>
    <row r="6" customFormat="false" ht="23.85" hidden="false" customHeight="false" outlineLevel="0" collapsed="false">
      <c r="A6" s="9" t="s">
        <v>334</v>
      </c>
      <c r="B6" s="9" t="s">
        <v>126</v>
      </c>
      <c r="C6" s="9" t="s">
        <v>335</v>
      </c>
      <c r="D6" s="9" t="s">
        <v>336</v>
      </c>
      <c r="E6" s="9" t="s">
        <v>337</v>
      </c>
      <c r="F6" s="9" t="s">
        <v>338</v>
      </c>
    </row>
    <row r="7" customFormat="false" ht="23.85" hidden="false" customHeight="false" outlineLevel="0" collapsed="false">
      <c r="A7" s="9" t="s">
        <v>339</v>
      </c>
      <c r="B7" s="9" t="s">
        <v>60</v>
      </c>
      <c r="C7" s="9" t="s">
        <v>340</v>
      </c>
      <c r="D7" s="9" t="s">
        <v>303</v>
      </c>
      <c r="E7" s="9" t="s">
        <v>341</v>
      </c>
      <c r="F7" s="9" t="s">
        <v>342</v>
      </c>
    </row>
    <row r="8" customFormat="false" ht="23.85" hidden="false" customHeight="false" outlineLevel="0" collapsed="false">
      <c r="A8" s="9" t="s">
        <v>343</v>
      </c>
      <c r="B8" s="9" t="s">
        <v>185</v>
      </c>
      <c r="C8" s="9" t="s">
        <v>344</v>
      </c>
      <c r="D8" s="9" t="s">
        <v>318</v>
      </c>
      <c r="E8" s="9" t="s">
        <v>345</v>
      </c>
      <c r="F8" s="9" t="s">
        <v>346</v>
      </c>
    </row>
    <row r="9" customFormat="false" ht="23.85" hidden="false" customHeight="false" outlineLevel="0" collapsed="false">
      <c r="A9" s="9" t="s">
        <v>347</v>
      </c>
      <c r="B9" s="9" t="s">
        <v>185</v>
      </c>
      <c r="C9" s="9" t="s">
        <v>348</v>
      </c>
      <c r="D9" s="9" t="s">
        <v>336</v>
      </c>
      <c r="E9" s="9" t="s">
        <v>349</v>
      </c>
      <c r="F9" s="9" t="s">
        <v>350</v>
      </c>
    </row>
    <row r="10" customFormat="false" ht="35.05" hidden="false" customHeight="false" outlineLevel="0" collapsed="false">
      <c r="A10" s="9" t="s">
        <v>351</v>
      </c>
      <c r="B10" s="9" t="s">
        <v>60</v>
      </c>
      <c r="C10" s="9" t="s">
        <v>352</v>
      </c>
      <c r="D10" s="9" t="s">
        <v>303</v>
      </c>
      <c r="E10" s="9" t="s">
        <v>353</v>
      </c>
      <c r="F10" s="9" t="s">
        <v>354</v>
      </c>
    </row>
    <row r="11" customFormat="false" ht="35.05" hidden="false" customHeight="false" outlineLevel="0" collapsed="false">
      <c r="A11" s="9" t="s">
        <v>355</v>
      </c>
      <c r="B11" s="9" t="s">
        <v>239</v>
      </c>
      <c r="C11" s="9" t="s">
        <v>356</v>
      </c>
      <c r="D11" s="9" t="s">
        <v>357</v>
      </c>
      <c r="E11" s="9" t="s">
        <v>358</v>
      </c>
      <c r="F11" s="9" t="s">
        <v>359</v>
      </c>
    </row>
    <row r="12" customFormat="false" ht="23.85" hidden="false" customHeight="false" outlineLevel="0" collapsed="false">
      <c r="A12" s="9" t="s">
        <v>360</v>
      </c>
      <c r="B12" s="9" t="s">
        <v>60</v>
      </c>
      <c r="C12" s="9" t="s">
        <v>361</v>
      </c>
      <c r="D12" s="9" t="s">
        <v>336</v>
      </c>
      <c r="E12" s="9" t="s">
        <v>362</v>
      </c>
      <c r="F12" s="9" t="s">
        <v>363</v>
      </c>
    </row>
    <row r="13" customFormat="false" ht="23.85" hidden="false" customHeight="false" outlineLevel="0" collapsed="false">
      <c r="A13" s="9" t="s">
        <v>364</v>
      </c>
      <c r="B13" s="9" t="s">
        <v>365</v>
      </c>
      <c r="C13" s="9" t="s">
        <v>344</v>
      </c>
      <c r="D13" s="9" t="s">
        <v>336</v>
      </c>
      <c r="E13" s="9" t="s">
        <v>366</v>
      </c>
      <c r="F13" s="9" t="s">
        <v>367</v>
      </c>
    </row>
    <row r="14" customFormat="false" ht="23.85" hidden="false" customHeight="false" outlineLevel="0" collapsed="false">
      <c r="A14" s="9" t="s">
        <v>368</v>
      </c>
      <c r="B14" s="9" t="s">
        <v>369</v>
      </c>
      <c r="C14" s="9" t="s">
        <v>370</v>
      </c>
      <c r="D14" s="9" t="s">
        <v>371</v>
      </c>
      <c r="E14" s="9" t="s">
        <v>372</v>
      </c>
      <c r="F14" s="9" t="s">
        <v>373</v>
      </c>
    </row>
    <row r="15" customFormat="false" ht="15" hidden="false" customHeight="false" outlineLevel="0" collapsed="false">
      <c r="A15" s="9" t="s">
        <v>374</v>
      </c>
      <c r="B15" s="9" t="s">
        <v>375</v>
      </c>
      <c r="C15" s="9" t="s">
        <v>370</v>
      </c>
      <c r="D15" s="9" t="s">
        <v>303</v>
      </c>
      <c r="E15" s="9" t="s">
        <v>376</v>
      </c>
      <c r="F15" s="9" t="s">
        <v>377</v>
      </c>
    </row>
    <row r="16" customFormat="false" ht="23.85" hidden="false" customHeight="false" outlineLevel="0" collapsed="false">
      <c r="A16" s="9" t="s">
        <v>378</v>
      </c>
      <c r="B16" s="9" t="s">
        <v>60</v>
      </c>
      <c r="C16" s="9" t="s">
        <v>370</v>
      </c>
      <c r="D16" s="9" t="s">
        <v>303</v>
      </c>
      <c r="E16" s="9" t="s">
        <v>379</v>
      </c>
      <c r="F16" s="9" t="s">
        <v>380</v>
      </c>
    </row>
    <row r="17" customFormat="false" ht="23.85" hidden="false" customHeight="false" outlineLevel="0" collapsed="false">
      <c r="A17" s="9" t="s">
        <v>381</v>
      </c>
      <c r="B17" s="9" t="s">
        <v>382</v>
      </c>
      <c r="C17" s="9" t="s">
        <v>383</v>
      </c>
      <c r="D17" s="9" t="s">
        <v>303</v>
      </c>
      <c r="E17" s="9" t="s">
        <v>384</v>
      </c>
      <c r="F17" s="9" t="s">
        <v>385</v>
      </c>
    </row>
    <row r="18" customFormat="false" ht="23.85" hidden="false" customHeight="false" outlineLevel="0" collapsed="false">
      <c r="A18" s="9" t="s">
        <v>386</v>
      </c>
      <c r="B18" s="9" t="s">
        <v>387</v>
      </c>
      <c r="C18" s="9" t="s">
        <v>388</v>
      </c>
      <c r="D18" s="9" t="s">
        <v>323</v>
      </c>
      <c r="E18" s="9" t="s">
        <v>389</v>
      </c>
      <c r="F18" s="9" t="s">
        <v>390</v>
      </c>
    </row>
    <row r="19" customFormat="false" ht="35.05" hidden="false" customHeight="false" outlineLevel="0" collapsed="false">
      <c r="A19" s="9" t="s">
        <v>391</v>
      </c>
      <c r="B19" s="9" t="s">
        <v>392</v>
      </c>
      <c r="C19" s="9" t="s">
        <v>393</v>
      </c>
      <c r="D19" s="9" t="s">
        <v>336</v>
      </c>
      <c r="E19" s="9" t="s">
        <v>394</v>
      </c>
      <c r="F19" s="9" t="s">
        <v>395</v>
      </c>
    </row>
    <row r="20" customFormat="false" ht="15" hidden="false" customHeight="false" outlineLevel="0" collapsed="false">
      <c r="A20" s="9" t="s">
        <v>396</v>
      </c>
      <c r="B20" s="9" t="s">
        <v>397</v>
      </c>
      <c r="C20" s="9" t="s">
        <v>398</v>
      </c>
      <c r="D20" s="9" t="s">
        <v>303</v>
      </c>
      <c r="E20" s="9" t="s">
        <v>399</v>
      </c>
      <c r="F20" s="9" t="s">
        <v>400</v>
      </c>
    </row>
    <row r="21" customFormat="false" ht="35.05" hidden="false" customHeight="false" outlineLevel="0" collapsed="false">
      <c r="A21" s="9" t="s">
        <v>401</v>
      </c>
      <c r="B21" s="9" t="s">
        <v>402</v>
      </c>
      <c r="C21" s="9" t="s">
        <v>403</v>
      </c>
      <c r="D21" s="9" t="s">
        <v>404</v>
      </c>
      <c r="E21" s="9" t="s">
        <v>405</v>
      </c>
      <c r="F21" s="9" t="s">
        <v>406</v>
      </c>
    </row>
    <row r="23" customFormat="false" ht="30" hidden="false" customHeight="true" outlineLevel="0" collapsed="false">
      <c r="A23" s="24" t="s">
        <v>407</v>
      </c>
      <c r="B23" s="24"/>
      <c r="C23" s="24"/>
      <c r="D23" s="24"/>
      <c r="E23" s="24"/>
      <c r="F23" s="24"/>
    </row>
  </sheetData>
  <mergeCells count="1">
    <mergeCell ref="A23:F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4"/>
    <col collapsed="false" customWidth="true" hidden="false" outlineLevel="0" max="4" min="4" style="0" width="14"/>
    <col collapsed="false" customWidth="true" hidden="false" outlineLevel="0" max="5" min="5" style="0" width="40"/>
    <col collapsed="false" customWidth="true" hidden="false" outlineLevel="0" max="6" min="6" style="0" width="60"/>
  </cols>
  <sheetData>
    <row r="1" customFormat="false" ht="30" hidden="false" customHeight="true" outlineLevel="0" collapsed="false">
      <c r="A1" s="5" t="s">
        <v>408</v>
      </c>
      <c r="B1" s="5" t="s">
        <v>409</v>
      </c>
      <c r="C1" s="5" t="s">
        <v>410</v>
      </c>
      <c r="D1" s="5" t="s">
        <v>411</v>
      </c>
      <c r="E1" s="5" t="s">
        <v>412</v>
      </c>
      <c r="F1" s="5" t="s">
        <v>413</v>
      </c>
    </row>
    <row r="2" customFormat="false" ht="46.25" hidden="false" customHeight="false" outlineLevel="0" collapsed="false">
      <c r="A2" s="9" t="n">
        <v>1</v>
      </c>
      <c r="B2" s="9" t="s">
        <v>414</v>
      </c>
      <c r="C2" s="9" t="s">
        <v>415</v>
      </c>
      <c r="D2" s="9" t="s">
        <v>416</v>
      </c>
      <c r="E2" s="25" t="s">
        <v>417</v>
      </c>
      <c r="F2" s="9" t="s">
        <v>418</v>
      </c>
    </row>
    <row r="3" customFormat="false" ht="35.05" hidden="false" customHeight="false" outlineLevel="0" collapsed="false">
      <c r="A3" s="9" t="n">
        <v>2</v>
      </c>
      <c r="B3" s="9" t="s">
        <v>419</v>
      </c>
      <c r="C3" s="9" t="s">
        <v>420</v>
      </c>
      <c r="D3" s="9" t="s">
        <v>421</v>
      </c>
      <c r="E3" s="25" t="s">
        <v>422</v>
      </c>
      <c r="F3" s="9" t="s">
        <v>423</v>
      </c>
    </row>
    <row r="4" customFormat="false" ht="35.05" hidden="false" customHeight="false" outlineLevel="0" collapsed="false">
      <c r="A4" s="9" t="n">
        <v>3</v>
      </c>
      <c r="B4" s="9" t="s">
        <v>424</v>
      </c>
      <c r="C4" s="9" t="s">
        <v>425</v>
      </c>
      <c r="D4" s="9" t="s">
        <v>426</v>
      </c>
      <c r="E4" s="9"/>
      <c r="F4" s="9" t="s">
        <v>427</v>
      </c>
    </row>
    <row r="5" customFormat="false" ht="46.25" hidden="false" customHeight="false" outlineLevel="0" collapsed="false">
      <c r="A5" s="9" t="n">
        <v>4</v>
      </c>
      <c r="B5" s="9" t="s">
        <v>428</v>
      </c>
      <c r="C5" s="9" t="s">
        <v>429</v>
      </c>
      <c r="D5" s="9" t="s">
        <v>426</v>
      </c>
      <c r="E5" s="25" t="s">
        <v>430</v>
      </c>
      <c r="F5" s="9" t="s">
        <v>431</v>
      </c>
    </row>
    <row r="6" customFormat="false" ht="23.85" hidden="false" customHeight="false" outlineLevel="0" collapsed="false">
      <c r="A6" s="9" t="n">
        <v>5</v>
      </c>
      <c r="B6" s="9" t="s">
        <v>432</v>
      </c>
      <c r="C6" s="9" t="s">
        <v>433</v>
      </c>
      <c r="D6" s="9" t="s">
        <v>426</v>
      </c>
      <c r="E6" s="25" t="s">
        <v>434</v>
      </c>
      <c r="F6" s="9" t="s">
        <v>435</v>
      </c>
    </row>
    <row r="7" customFormat="false" ht="35.05" hidden="false" customHeight="false" outlineLevel="0" collapsed="false">
      <c r="A7" s="9" t="n">
        <v>6</v>
      </c>
      <c r="B7" s="9" t="s">
        <v>436</v>
      </c>
      <c r="C7" s="9" t="s">
        <v>437</v>
      </c>
      <c r="D7" s="9" t="s">
        <v>438</v>
      </c>
      <c r="E7" s="25" t="s">
        <v>439</v>
      </c>
      <c r="F7" s="9" t="s">
        <v>440</v>
      </c>
    </row>
    <row r="8" customFormat="false" ht="23.85" hidden="false" customHeight="false" outlineLevel="0" collapsed="false">
      <c r="A8" s="9" t="n">
        <v>7</v>
      </c>
      <c r="B8" s="9" t="s">
        <v>441</v>
      </c>
      <c r="C8" s="9" t="s">
        <v>442</v>
      </c>
      <c r="D8" s="9" t="s">
        <v>426</v>
      </c>
      <c r="E8" s="25" t="s">
        <v>443</v>
      </c>
      <c r="F8" s="9" t="s">
        <v>444</v>
      </c>
    </row>
    <row r="9" customFormat="false" ht="23.85" hidden="false" customHeight="false" outlineLevel="0" collapsed="false">
      <c r="A9" s="9" t="n">
        <v>8</v>
      </c>
      <c r="B9" s="9" t="s">
        <v>445</v>
      </c>
      <c r="C9" s="9" t="s">
        <v>446</v>
      </c>
      <c r="D9" s="9" t="s">
        <v>426</v>
      </c>
      <c r="E9" s="25" t="s">
        <v>447</v>
      </c>
      <c r="F9" s="9" t="s">
        <v>448</v>
      </c>
    </row>
    <row r="10" customFormat="false" ht="23.85" hidden="false" customHeight="false" outlineLevel="0" collapsed="false">
      <c r="A10" s="9" t="n">
        <v>9</v>
      </c>
      <c r="B10" s="9" t="s">
        <v>449</v>
      </c>
      <c r="C10" s="9" t="s">
        <v>450</v>
      </c>
      <c r="D10" s="9" t="s">
        <v>426</v>
      </c>
      <c r="E10" s="25" t="s">
        <v>451</v>
      </c>
      <c r="F10" s="9" t="s">
        <v>452</v>
      </c>
    </row>
    <row r="11" customFormat="false" ht="35.05" hidden="false" customHeight="false" outlineLevel="0" collapsed="false">
      <c r="A11" s="9" t="n">
        <v>10</v>
      </c>
      <c r="B11" s="9" t="s">
        <v>453</v>
      </c>
      <c r="C11" s="9" t="s">
        <v>454</v>
      </c>
      <c r="D11" s="9" t="s">
        <v>455</v>
      </c>
      <c r="E11" s="25" t="s">
        <v>456</v>
      </c>
      <c r="F11" s="9" t="s">
        <v>457</v>
      </c>
    </row>
    <row r="12" customFormat="false" ht="46.25" hidden="false" customHeight="false" outlineLevel="0" collapsed="false">
      <c r="A12" s="9" t="n">
        <v>11</v>
      </c>
      <c r="B12" s="9" t="s">
        <v>458</v>
      </c>
      <c r="C12" s="9" t="s">
        <v>459</v>
      </c>
      <c r="D12" s="9" t="s">
        <v>460</v>
      </c>
      <c r="E12" s="25" t="s">
        <v>461</v>
      </c>
      <c r="F12" s="9" t="s">
        <v>462</v>
      </c>
    </row>
    <row r="13" customFormat="false" ht="35.05" hidden="false" customHeight="false" outlineLevel="0" collapsed="false">
      <c r="A13" s="9" t="n">
        <v>12</v>
      </c>
      <c r="B13" s="9" t="s">
        <v>463</v>
      </c>
      <c r="C13" s="9" t="s">
        <v>464</v>
      </c>
      <c r="D13" s="9" t="s">
        <v>465</v>
      </c>
      <c r="E13" s="25" t="s">
        <v>466</v>
      </c>
      <c r="F13" s="9" t="s">
        <v>467</v>
      </c>
    </row>
    <row r="14" customFormat="false" ht="35.05" hidden="false" customHeight="false" outlineLevel="0" collapsed="false">
      <c r="A14" s="9" t="n">
        <v>13</v>
      </c>
      <c r="B14" s="9" t="s">
        <v>468</v>
      </c>
      <c r="C14" s="9" t="s">
        <v>469</v>
      </c>
      <c r="D14" s="9" t="s">
        <v>426</v>
      </c>
      <c r="E14" s="25" t="s">
        <v>470</v>
      </c>
      <c r="F14" s="9" t="s">
        <v>471</v>
      </c>
    </row>
  </sheetData>
  <hyperlinks>
    <hyperlink ref="E2" r:id="rId1" display="https://tampareia.com/"/>
    <hyperlink ref="E3" r:id="rId2" display="https://www.meetup.com/tampabayreia/"/>
    <hyperlink ref="E5" r:id="rId3" display="https://www.facebook.com/groups/search/groups/?q=tampa%20landlord"/>
    <hyperlink ref="E6" r:id="rId4" display="https://nextdoor.com/"/>
    <hyperlink ref="E7" r:id="rId5" display="https://www.thumbtack.com/fl/tampa/"/>
    <hyperlink ref="E8" r:id="rId6" display="https://www.angi.com/companylist/tampa/"/>
    <hyperlink ref="E9" r:id="rId7" display="https://www.homedepot.com/services/"/>
    <hyperlink ref="E10" r:id="rId8" display="https://www.google.com/maps"/>
    <hyperlink ref="E11" r:id="rId9" display="https://www.taskrabbit.com/locations/tampa"/>
    <hyperlink ref="E12" r:id="rId10" display="https://lula.life/services"/>
    <hyperlink ref="E13" r:id="rId11" display="https://latchel.com/"/>
    <hyperlink ref="E14" r:id="rId12" display="https://hcfl.gov/businesses/hillsgovhub/contractor-licensin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40"/>
    <col collapsed="false" customWidth="true" hidden="false" outlineLevel="0" max="4" min="4" style="0" width="44"/>
    <col collapsed="false" customWidth="true" hidden="false" outlineLevel="0" max="5" min="5" style="0" width="50"/>
  </cols>
  <sheetData>
    <row r="1" customFormat="false" ht="30" hidden="false" customHeight="true" outlineLevel="0" collapsed="false">
      <c r="A1" s="5" t="s">
        <v>472</v>
      </c>
      <c r="B1" s="5" t="s">
        <v>473</v>
      </c>
      <c r="C1" s="5" t="s">
        <v>474</v>
      </c>
      <c r="D1" s="5" t="s">
        <v>412</v>
      </c>
      <c r="E1" s="5" t="s">
        <v>475</v>
      </c>
    </row>
    <row r="2" customFormat="false" ht="23.85" hidden="false" customHeight="false" outlineLevel="0" collapsed="false">
      <c r="A2" s="9" t="n">
        <v>1</v>
      </c>
      <c r="B2" s="9" t="s">
        <v>476</v>
      </c>
      <c r="C2" s="9" t="s">
        <v>477</v>
      </c>
      <c r="D2" s="25" t="s">
        <v>478</v>
      </c>
      <c r="E2" s="9" t="s">
        <v>479</v>
      </c>
    </row>
    <row r="3" customFormat="false" ht="35.05" hidden="false" customHeight="false" outlineLevel="0" collapsed="false">
      <c r="A3" s="9" t="n">
        <v>2</v>
      </c>
      <c r="B3" s="9" t="s">
        <v>480</v>
      </c>
      <c r="C3" s="9" t="s">
        <v>481</v>
      </c>
      <c r="D3" s="25" t="s">
        <v>470</v>
      </c>
      <c r="E3" s="9" t="s">
        <v>482</v>
      </c>
    </row>
    <row r="4" customFormat="false" ht="35.05" hidden="false" customHeight="false" outlineLevel="0" collapsed="false">
      <c r="A4" s="9" t="n">
        <v>3</v>
      </c>
      <c r="B4" s="9" t="s">
        <v>483</v>
      </c>
      <c r="C4" s="9" t="s">
        <v>484</v>
      </c>
      <c r="D4" s="9"/>
      <c r="E4" s="9" t="s">
        <v>485</v>
      </c>
    </row>
    <row r="5" customFormat="false" ht="35.05" hidden="false" customHeight="false" outlineLevel="0" collapsed="false">
      <c r="A5" s="9" t="n">
        <v>4</v>
      </c>
      <c r="B5" s="9" t="s">
        <v>486</v>
      </c>
      <c r="C5" s="9" t="s">
        <v>487</v>
      </c>
      <c r="D5" s="25" t="s">
        <v>488</v>
      </c>
      <c r="E5" s="9" t="s">
        <v>489</v>
      </c>
    </row>
    <row r="6" customFormat="false" ht="23.85" hidden="false" customHeight="false" outlineLevel="0" collapsed="false">
      <c r="A6" s="9" t="n">
        <v>5</v>
      </c>
      <c r="B6" s="9" t="s">
        <v>490</v>
      </c>
      <c r="C6" s="9" t="s">
        <v>491</v>
      </c>
      <c r="D6" s="25" t="s">
        <v>492</v>
      </c>
      <c r="E6" s="9" t="s">
        <v>493</v>
      </c>
    </row>
    <row r="7" customFormat="false" ht="23.85" hidden="false" customHeight="false" outlineLevel="0" collapsed="false">
      <c r="A7" s="9" t="n">
        <v>6</v>
      </c>
      <c r="B7" s="9" t="s">
        <v>494</v>
      </c>
      <c r="C7" s="9" t="s">
        <v>495</v>
      </c>
      <c r="D7" s="25" t="s">
        <v>496</v>
      </c>
      <c r="E7" s="9" t="s">
        <v>497</v>
      </c>
    </row>
    <row r="8" customFormat="false" ht="35.05" hidden="false" customHeight="false" outlineLevel="0" collapsed="false">
      <c r="A8" s="9" t="n">
        <v>7</v>
      </c>
      <c r="B8" s="9" t="s">
        <v>498</v>
      </c>
      <c r="C8" s="9" t="s">
        <v>499</v>
      </c>
      <c r="D8" s="9"/>
      <c r="E8" s="9" t="s">
        <v>500</v>
      </c>
    </row>
    <row r="9" customFormat="false" ht="46.25" hidden="false" customHeight="false" outlineLevel="0" collapsed="false">
      <c r="A9" s="9" t="n">
        <v>8</v>
      </c>
      <c r="B9" s="9" t="s">
        <v>501</v>
      </c>
      <c r="C9" s="9" t="s">
        <v>502</v>
      </c>
      <c r="D9" s="9"/>
      <c r="E9" s="9" t="s">
        <v>503</v>
      </c>
    </row>
    <row r="11" customFormat="false" ht="15" hidden="false" customHeight="false" outlineLevel="0" collapsed="false">
      <c r="A11" s="16" t="s">
        <v>504</v>
      </c>
    </row>
    <row r="12" customFormat="false" ht="31.5" hidden="false" customHeight="true" outlineLevel="0" collapsed="false">
      <c r="A12" s="26" t="s">
        <v>505</v>
      </c>
      <c r="B12" s="26"/>
      <c r="C12" s="26"/>
      <c r="D12" s="26"/>
      <c r="E12" s="26"/>
    </row>
    <row r="13" customFormat="false" ht="31.5" hidden="false" customHeight="true" outlineLevel="0" collapsed="false">
      <c r="A13" s="26" t="s">
        <v>506</v>
      </c>
      <c r="B13" s="26"/>
      <c r="C13" s="26"/>
      <c r="D13" s="26"/>
      <c r="E13" s="26"/>
    </row>
    <row r="14" customFormat="false" ht="31.5" hidden="false" customHeight="true" outlineLevel="0" collapsed="false">
      <c r="A14" s="26" t="s">
        <v>507</v>
      </c>
      <c r="B14" s="26"/>
      <c r="C14" s="26"/>
      <c r="D14" s="26"/>
      <c r="E14" s="26"/>
    </row>
    <row r="15" customFormat="false" ht="31.5" hidden="false" customHeight="true" outlineLevel="0" collapsed="false">
      <c r="A15" s="26" t="s">
        <v>508</v>
      </c>
      <c r="B15" s="26"/>
      <c r="C15" s="26"/>
      <c r="D15" s="26"/>
      <c r="E15" s="26"/>
    </row>
    <row r="16" customFormat="false" ht="31.5" hidden="false" customHeight="true" outlineLevel="0" collapsed="false">
      <c r="A16" s="26" t="s">
        <v>509</v>
      </c>
      <c r="B16" s="26"/>
      <c r="C16" s="26"/>
      <c r="D16" s="26"/>
      <c r="E16" s="26"/>
    </row>
  </sheetData>
  <mergeCells count="5">
    <mergeCell ref="A12:E12"/>
    <mergeCell ref="A13:E13"/>
    <mergeCell ref="A14:E14"/>
    <mergeCell ref="A15:E15"/>
    <mergeCell ref="A16:E16"/>
  </mergeCells>
  <hyperlinks>
    <hyperlink ref="D2" r:id="rId1" display="https://www.myfloridalicense.com/wl11.asp"/>
    <hyperlink ref="D3" r:id="rId2" display="https://hcfl.gov/businesses/hillsgovhub/contractor-licensing"/>
    <hyperlink ref="D5" r:id="rId3" display="https://dwcdataportal.fldfs.com/ProofOfCoverage.aspx"/>
    <hyperlink ref="D6" r:id="rId4" display="https://search.sunbiz.org/Inquiry/CorporationSearch/ByName"/>
    <hyperlink ref="D7" r:id="rId5" display="https://www.bbb.org/local-bbb/bbb-of-west-florida"/>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2026-09-09T17:15:01Z</dcterms:created>
  <dc:creator>openpyxl</dc:creator>
  <dc:description/>
  <dc:language>en-US</dc:language>
  <cp:lastModifiedBy/>
  <dcterms:modified xsi:type="dcterms:W3CDTF">2026-09-09T17:15:01Z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